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B9C313DF-701F-4FB3-BEBB-D1CD1DC69133}" xr6:coauthVersionLast="47" xr6:coauthVersionMax="47" xr10:uidLastSave="{00000000-0000-0000-0000-000000000000}"/>
  <bookViews>
    <workbookView xWindow="-108" yWindow="-108" windowWidth="23256" windowHeight="12456" activeTab="3" xr2:uid="{FA99C1ED-ADD5-4FF0-8658-17E6BFF52DFB}"/>
  </bookViews>
  <sheets>
    <sheet name="simplex solver" sheetId="1" r:id="rId1"/>
    <sheet name="dif grg intitilization" sheetId="3" r:id="rId2"/>
    <sheet name="original grg solver" sheetId="2" r:id="rId3"/>
    <sheet name="Final grg initilization " sheetId="4" r:id="rId4"/>
  </sheets>
  <externalReferences>
    <externalReference r:id="rId5"/>
  </externalReferences>
  <definedNames>
    <definedName name="solver_adj" localSheetId="1" hidden="1">'dif grg intitilization'!$E$5:$K$12</definedName>
    <definedName name="solver_adj" localSheetId="3" hidden="1">'Final grg initilization '!$E$5:$K$12</definedName>
    <definedName name="solver_adj" localSheetId="2" hidden="1">'original grg solver'!$E$5:$K$12</definedName>
    <definedName name="solver_adj" localSheetId="0" hidden="1">'simplex solver'!$E$5:$K$12</definedName>
    <definedName name="solver_cvg" localSheetId="1" hidden="1">0.0001</definedName>
    <definedName name="solver_cvg" localSheetId="3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3" hidden="1">1</definedName>
    <definedName name="solver_drv" localSheetId="2" hidden="1">2</definedName>
    <definedName name="solver_drv" localSheetId="0" hidden="1">2</definedName>
    <definedName name="solver_eng" localSheetId="1" hidden="1">1</definedName>
    <definedName name="solver_eng" localSheetId="3" hidden="1">1</definedName>
    <definedName name="solver_eng" localSheetId="2" hidden="1">1</definedName>
    <definedName name="solver_eng" localSheetId="0" hidden="1">2</definedName>
    <definedName name="solver_est" localSheetId="1" hidden="1">1</definedName>
    <definedName name="solver_est" localSheetId="3" hidden="1">1</definedName>
    <definedName name="solver_est" localSheetId="2" hidden="1">1</definedName>
    <definedName name="solver_est" localSheetId="0" hidden="1">1</definedName>
    <definedName name="solver_itr" localSheetId="1" hidden="1">2147483647</definedName>
    <definedName name="solver_itr" localSheetId="3" hidden="1">2147483647</definedName>
    <definedName name="solver_itr" localSheetId="2" hidden="1">2147483647</definedName>
    <definedName name="solver_itr" localSheetId="0" hidden="1">2147483647</definedName>
    <definedName name="solver_lhs1" localSheetId="1" hidden="1">'dif grg intitilization'!$E$13:$K$13</definedName>
    <definedName name="solver_lhs1" localSheetId="3" hidden="1">'Final grg initilization '!$E$13:$K$13</definedName>
    <definedName name="solver_lhs1" localSheetId="2" hidden="1">'original grg solver'!$E$13:$K$13</definedName>
    <definedName name="solver_lhs1" localSheetId="0" hidden="1">'simplex solver'!$E$13:$K$13</definedName>
    <definedName name="solver_lhs2" localSheetId="1" hidden="1">'dif grg intitilization'!$E$13:$K$13</definedName>
    <definedName name="solver_lhs2" localSheetId="3" hidden="1">'Final grg initilization '!$E$13:$K$13</definedName>
    <definedName name="solver_lhs2" localSheetId="2" hidden="1">'original grg solver'!$E$13:$K$13</definedName>
    <definedName name="solver_lhs2" localSheetId="0" hidden="1">'simplex solver'!$E$13:$K$13</definedName>
    <definedName name="solver_lhs3" localSheetId="1" hidden="1">'dif grg intitilization'!$F$5:$F$12</definedName>
    <definedName name="solver_lhs3" localSheetId="3" hidden="1">'Final grg initilization '!$F$5:$F$12</definedName>
    <definedName name="solver_lhs3" localSheetId="2" hidden="1">'original grg solver'!$F$5:$F$12</definedName>
    <definedName name="solver_lhs3" localSheetId="0" hidden="1">'simplex solver'!$F$5:$H$12</definedName>
    <definedName name="solver_lhs4" localSheetId="1" hidden="1">'dif grg intitilization'!$G$5:$G$12</definedName>
    <definedName name="solver_lhs4" localSheetId="3" hidden="1">'Final grg initilization '!$G$5:$G$12</definedName>
    <definedName name="solver_lhs4" localSheetId="2" hidden="1">'original grg solver'!$G$5:$G$12</definedName>
    <definedName name="solver_lhs4" localSheetId="0" hidden="1">'simplex solver'!$J$5:$J$12</definedName>
    <definedName name="solver_lhs5" localSheetId="1" hidden="1">'dif grg intitilization'!$H$5:$H$12</definedName>
    <definedName name="solver_lhs5" localSheetId="3" hidden="1">'Final grg initilization '!$H$5:$H$12</definedName>
    <definedName name="solver_lhs5" localSheetId="2" hidden="1">'original grg solver'!$H$5:$H$12</definedName>
    <definedName name="solver_lhs5" localSheetId="0" hidden="1">'simplex solver'!$L$5:$L$12</definedName>
    <definedName name="solver_lhs6" localSheetId="1" hidden="1">'dif grg intitilization'!$J$5:$J$12</definedName>
    <definedName name="solver_lhs6" localSheetId="3" hidden="1">'Final grg initilization '!$J$5:$J$12</definedName>
    <definedName name="solver_lhs6" localSheetId="2" hidden="1">'original grg solver'!$J$5:$J$12</definedName>
    <definedName name="solver_lhs6" localSheetId="0" hidden="1">'simplex solver'!$L$5:$L$12</definedName>
    <definedName name="solver_lhs7" localSheetId="1" hidden="1">'dif grg intitilization'!$L$5:$L$12</definedName>
    <definedName name="solver_lhs7" localSheetId="3" hidden="1">'Final grg initilization '!$L$5:$L$12</definedName>
    <definedName name="solver_lhs7" localSheetId="2" hidden="1">'original grg solver'!$L$5:$L$12</definedName>
    <definedName name="solver_lhs8" localSheetId="1" hidden="1">'dif grg intitilization'!$L$5:$L$12</definedName>
    <definedName name="solver_lhs8" localSheetId="3" hidden="1">'Final grg initilization '!$L$5:$L$12</definedName>
    <definedName name="solver_lhs8" localSheetId="2" hidden="1">'original grg solver'!$L$5:$L$12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ip" localSheetId="0" hidden="1">2147483647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ni" localSheetId="0" hidden="1">30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rt" localSheetId="0" hidden="1">0.075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msl" localSheetId="0" hidden="1">2</definedName>
    <definedName name="solver_neg" localSheetId="1" hidden="1">1</definedName>
    <definedName name="solver_neg" localSheetId="3" hidden="1">1</definedName>
    <definedName name="solver_neg" localSheetId="2" hidden="1">1</definedName>
    <definedName name="solver_neg" localSheetId="0" hidden="1">1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od" localSheetId="0" hidden="1">2147483647</definedName>
    <definedName name="solver_num" localSheetId="1" hidden="1">8</definedName>
    <definedName name="solver_num" localSheetId="3" hidden="1">8</definedName>
    <definedName name="solver_num" localSheetId="2" hidden="1">8</definedName>
    <definedName name="solver_num" localSheetId="0" hidden="1">6</definedName>
    <definedName name="solver_nwt" localSheetId="1" hidden="1">1</definedName>
    <definedName name="solver_nwt" localSheetId="3" hidden="1">1</definedName>
    <definedName name="solver_nwt" localSheetId="2" hidden="1">1</definedName>
    <definedName name="solver_nwt" localSheetId="0" hidden="1">1</definedName>
    <definedName name="solver_opt" localSheetId="1" hidden="1">'dif grg intitilization'!$E$28</definedName>
    <definedName name="solver_opt" localSheetId="3" hidden="1">'Final grg initilization '!$E$28</definedName>
    <definedName name="solver_opt" localSheetId="2" hidden="1">'original grg solver'!$E$28</definedName>
    <definedName name="solver_opt" localSheetId="0" hidden="1">'simplex solver'!$E$30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pre" localSheetId="0" hidden="1">0.000001</definedName>
    <definedName name="solver_rbv" localSheetId="1" hidden="1">1</definedName>
    <definedName name="solver_rbv" localSheetId="3" hidden="1">1</definedName>
    <definedName name="solver_rbv" localSheetId="2" hidden="1">2</definedName>
    <definedName name="solver_rbv" localSheetId="0" hidden="1">2</definedName>
    <definedName name="solver_rel1" localSheetId="1" hidden="1">1</definedName>
    <definedName name="solver_rel1" localSheetId="3" hidden="1">1</definedName>
    <definedName name="solver_rel1" localSheetId="2" hidden="1">1</definedName>
    <definedName name="solver_rel1" localSheetId="0" hidden="1">1</definedName>
    <definedName name="solver_rel2" localSheetId="1" hidden="1">3</definedName>
    <definedName name="solver_rel2" localSheetId="3" hidden="1">3</definedName>
    <definedName name="solver_rel2" localSheetId="2" hidden="1">3</definedName>
    <definedName name="solver_rel2" localSheetId="0" hidden="1">3</definedName>
    <definedName name="solver_rel3" localSheetId="1" hidden="1">4</definedName>
    <definedName name="solver_rel3" localSheetId="3" hidden="1">4</definedName>
    <definedName name="solver_rel3" localSheetId="2" hidden="1">4</definedName>
    <definedName name="solver_rel3" localSheetId="0" hidden="1">4</definedName>
    <definedName name="solver_rel4" localSheetId="1" hidden="1">4</definedName>
    <definedName name="solver_rel4" localSheetId="3" hidden="1">4</definedName>
    <definedName name="solver_rel4" localSheetId="2" hidden="1">4</definedName>
    <definedName name="solver_rel4" localSheetId="0" hidden="1">4</definedName>
    <definedName name="solver_rel5" localSheetId="1" hidden="1">4</definedName>
    <definedName name="solver_rel5" localSheetId="3" hidden="1">4</definedName>
    <definedName name="solver_rel5" localSheetId="2" hidden="1">4</definedName>
    <definedName name="solver_rel5" localSheetId="0" hidden="1">1</definedName>
    <definedName name="solver_rel6" localSheetId="1" hidden="1">4</definedName>
    <definedName name="solver_rel6" localSheetId="3" hidden="1">4</definedName>
    <definedName name="solver_rel6" localSheetId="2" hidden="1">4</definedName>
    <definedName name="solver_rel6" localSheetId="0" hidden="1">3</definedName>
    <definedName name="solver_rel7" localSheetId="1" hidden="1">1</definedName>
    <definedName name="solver_rel7" localSheetId="3" hidden="1">1</definedName>
    <definedName name="solver_rel7" localSheetId="2" hidden="1">1</definedName>
    <definedName name="solver_rel8" localSheetId="1" hidden="1">3</definedName>
    <definedName name="solver_rel8" localSheetId="3" hidden="1">3</definedName>
    <definedName name="solver_rel8" localSheetId="2" hidden="1">3</definedName>
    <definedName name="solver_rhs1" localSheetId="1" hidden="1">'dif grg intitilization'!$E$15:$K$15</definedName>
    <definedName name="solver_rhs1" localSheetId="3" hidden="1">'Final grg initilization '!$E$15:$K$15</definedName>
    <definedName name="solver_rhs1" localSheetId="2" hidden="1">'original grg solver'!$E$15:$K$15</definedName>
    <definedName name="solver_rhs1" localSheetId="0" hidden="1">'simplex solver'!$E$15:$K$15</definedName>
    <definedName name="solver_rhs2" localSheetId="1" hidden="1">'dif grg intitilization'!$E$14:$K$14</definedName>
    <definedName name="solver_rhs2" localSheetId="3" hidden="1">'Final grg initilization '!$E$14:$K$14</definedName>
    <definedName name="solver_rhs2" localSheetId="2" hidden="1">'original grg solver'!$E$14:$K$14</definedName>
    <definedName name="solver_rhs2" localSheetId="0" hidden="1">'simplex solver'!$E$14:$K$14</definedName>
    <definedName name="solver_rhs3" localSheetId="1" hidden="1">"integer"</definedName>
    <definedName name="solver_rhs3" localSheetId="3" hidden="1">"integer"</definedName>
    <definedName name="solver_rhs3" localSheetId="2" hidden="1">"integer"</definedName>
    <definedName name="solver_rhs3" localSheetId="0" hidden="1">"integer"</definedName>
    <definedName name="solver_rhs4" localSheetId="1" hidden="1">"integer"</definedName>
    <definedName name="solver_rhs4" localSheetId="3" hidden="1">"integer"</definedName>
    <definedName name="solver_rhs4" localSheetId="2" hidden="1">"integer"</definedName>
    <definedName name="solver_rhs4" localSheetId="0" hidden="1">"integer"</definedName>
    <definedName name="solver_rhs5" localSheetId="1" hidden="1">"integer"</definedName>
    <definedName name="solver_rhs5" localSheetId="3" hidden="1">"integer"</definedName>
    <definedName name="solver_rhs5" localSheetId="2" hidden="1">"integer"</definedName>
    <definedName name="solver_rhs5" localSheetId="0" hidden="1">'simplex solver'!$N$5:$N$12</definedName>
    <definedName name="solver_rhs6" localSheetId="1" hidden="1">"integer"</definedName>
    <definedName name="solver_rhs6" localSheetId="3" hidden="1">"integer"</definedName>
    <definedName name="solver_rhs6" localSheetId="2" hidden="1">"integer"</definedName>
    <definedName name="solver_rhs6" localSheetId="0" hidden="1">'simplex solver'!$M$5:$M$12</definedName>
    <definedName name="solver_rhs7" localSheetId="1" hidden="1">'dif grg intitilization'!$N$5:$N$12</definedName>
    <definedName name="solver_rhs7" localSheetId="3" hidden="1">'Final grg initilization '!$N$5:$N$12</definedName>
    <definedName name="solver_rhs7" localSheetId="2" hidden="1">'original grg solver'!$N$5:$N$12</definedName>
    <definedName name="solver_rhs8" localSheetId="1" hidden="1">'dif grg intitilization'!$M$5:$M$12</definedName>
    <definedName name="solver_rhs8" localSheetId="3" hidden="1">'Final grg initilization '!$M$5:$M$12</definedName>
    <definedName name="solver_rhs8" localSheetId="2" hidden="1">'original grg solver'!$M$5:$M$12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lx" localSheetId="0" hidden="1">2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rsd" localSheetId="0" hidden="1">0</definedName>
    <definedName name="solver_scl" localSheetId="1" hidden="1">1</definedName>
    <definedName name="solver_scl" localSheetId="3" hidden="1">1</definedName>
    <definedName name="solver_scl" localSheetId="2" hidden="1">2</definedName>
    <definedName name="solver_scl" localSheetId="0" hidden="1">2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ho" localSheetId="0" hidden="1">2</definedName>
    <definedName name="solver_ssz" localSheetId="1" hidden="1">100</definedName>
    <definedName name="solver_ssz" localSheetId="3" hidden="1">100</definedName>
    <definedName name="solver_ssz" localSheetId="2" hidden="1">100</definedName>
    <definedName name="solver_ssz" localSheetId="0" hidden="1">100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im" localSheetId="0" hidden="1">2147483647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ol" localSheetId="0" hidden="1">0.01</definedName>
    <definedName name="solver_typ" localSheetId="1" hidden="1">2</definedName>
    <definedName name="solver_typ" localSheetId="3" hidden="1">2</definedName>
    <definedName name="solver_typ" localSheetId="2" hidden="1">2</definedName>
    <definedName name="solver_typ" localSheetId="0" hidden="1">2</definedName>
    <definedName name="solver_val" localSheetId="1" hidden="1">0</definedName>
    <definedName name="solver_val" localSheetId="3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3" hidden="1">3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9" i="4" l="1"/>
  <c r="C49" i="4"/>
  <c r="G48" i="4"/>
  <c r="C48" i="4"/>
  <c r="G47" i="4"/>
  <c r="C47" i="4"/>
  <c r="G46" i="4"/>
  <c r="C46" i="4"/>
  <c r="G45" i="4"/>
  <c r="C45" i="4"/>
  <c r="G44" i="4"/>
  <c r="C44" i="4"/>
  <c r="G43" i="4"/>
  <c r="C43" i="4"/>
  <c r="G42" i="4"/>
  <c r="C42" i="4"/>
  <c r="G39" i="4"/>
  <c r="C39" i="4"/>
  <c r="G38" i="4"/>
  <c r="C38" i="4"/>
  <c r="G37" i="4"/>
  <c r="C37" i="4"/>
  <c r="G36" i="4"/>
  <c r="C36" i="4"/>
  <c r="G35" i="4"/>
  <c r="C35" i="4"/>
  <c r="G34" i="4"/>
  <c r="C34" i="4"/>
  <c r="G33" i="4"/>
  <c r="C33" i="4"/>
  <c r="E27" i="4"/>
  <c r="D25" i="4"/>
  <c r="D24" i="4"/>
  <c r="D23" i="4"/>
  <c r="D22" i="4"/>
  <c r="D21" i="4"/>
  <c r="D20" i="4"/>
  <c r="D19" i="4"/>
  <c r="D18" i="4"/>
  <c r="K13" i="4"/>
  <c r="E39" i="4" s="1"/>
  <c r="J13" i="4"/>
  <c r="H38" i="4" s="1"/>
  <c r="I13" i="4"/>
  <c r="E37" i="4" s="1"/>
  <c r="H13" i="4"/>
  <c r="E36" i="4" s="1"/>
  <c r="G13" i="4"/>
  <c r="E35" i="4" s="1"/>
  <c r="F13" i="4"/>
  <c r="H34" i="4" s="1"/>
  <c r="E13" i="4"/>
  <c r="E33" i="4" s="1"/>
  <c r="L12" i="4"/>
  <c r="E49" i="4" s="1"/>
  <c r="L11" i="4"/>
  <c r="H48" i="4" s="1"/>
  <c r="L10" i="4"/>
  <c r="E47" i="4" s="1"/>
  <c r="L9" i="4"/>
  <c r="C22" i="4" s="1"/>
  <c r="L8" i="4"/>
  <c r="E45" i="4" s="1"/>
  <c r="L7" i="4"/>
  <c r="H44" i="4" s="1"/>
  <c r="L6" i="4"/>
  <c r="E43" i="4" s="1"/>
  <c r="L5" i="4"/>
  <c r="E42" i="4" s="1"/>
  <c r="G52" i="1"/>
  <c r="C52" i="1"/>
  <c r="G51" i="1"/>
  <c r="C51" i="1"/>
  <c r="G50" i="1"/>
  <c r="C50" i="1"/>
  <c r="G49" i="1"/>
  <c r="C49" i="1"/>
  <c r="G48" i="1"/>
  <c r="C48" i="1"/>
  <c r="G47" i="1"/>
  <c r="C47" i="1"/>
  <c r="G46" i="1"/>
  <c r="C46" i="1"/>
  <c r="G45" i="1"/>
  <c r="C45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D25" i="1"/>
  <c r="D24" i="1"/>
  <c r="D23" i="1"/>
  <c r="D22" i="1"/>
  <c r="D21" i="1"/>
  <c r="D20" i="1"/>
  <c r="D19" i="1"/>
  <c r="D18" i="1"/>
  <c r="K13" i="1"/>
  <c r="H42" i="1" s="1"/>
  <c r="J13" i="1"/>
  <c r="H41" i="1" s="1"/>
  <c r="I13" i="1"/>
  <c r="H40" i="1" s="1"/>
  <c r="H13" i="1"/>
  <c r="E39" i="1" s="1"/>
  <c r="G13" i="1"/>
  <c r="H38" i="1" s="1"/>
  <c r="F13" i="1"/>
  <c r="H37" i="1" s="1"/>
  <c r="E13" i="1"/>
  <c r="H36" i="1" s="1"/>
  <c r="L12" i="1"/>
  <c r="H52" i="1" s="1"/>
  <c r="L11" i="1"/>
  <c r="C24" i="1" s="1"/>
  <c r="L10" i="1"/>
  <c r="H50" i="1" s="1"/>
  <c r="L9" i="1"/>
  <c r="C22" i="1" s="1"/>
  <c r="L8" i="1"/>
  <c r="H48" i="1" s="1"/>
  <c r="L7" i="1"/>
  <c r="C20" i="1" s="1"/>
  <c r="L6" i="1"/>
  <c r="H46" i="1" s="1"/>
  <c r="L5" i="1"/>
  <c r="H45" i="1" s="1"/>
  <c r="K13" i="3"/>
  <c r="H39" i="3" s="1"/>
  <c r="J13" i="3"/>
  <c r="H38" i="3" s="1"/>
  <c r="I13" i="3"/>
  <c r="H37" i="3" s="1"/>
  <c r="H13" i="3"/>
  <c r="H36" i="3" s="1"/>
  <c r="G13" i="3"/>
  <c r="H35" i="3" s="1"/>
  <c r="F13" i="3"/>
  <c r="H34" i="3" s="1"/>
  <c r="E13" i="3"/>
  <c r="H33" i="3" s="1"/>
  <c r="E13" i="2"/>
  <c r="H33" i="2" s="1"/>
  <c r="E27" i="3"/>
  <c r="D25" i="3"/>
  <c r="D24" i="3"/>
  <c r="D23" i="3"/>
  <c r="D22" i="3"/>
  <c r="D21" i="3"/>
  <c r="D20" i="3"/>
  <c r="D19" i="3"/>
  <c r="D18" i="3"/>
  <c r="L12" i="3"/>
  <c r="H49" i="3" s="1"/>
  <c r="L6" i="3"/>
  <c r="C19" i="3" s="1"/>
  <c r="L7" i="3"/>
  <c r="C20" i="3" s="1"/>
  <c r="L8" i="3"/>
  <c r="H45" i="3" s="1"/>
  <c r="L9" i="3"/>
  <c r="C22" i="3" s="1"/>
  <c r="L10" i="3"/>
  <c r="H47" i="3" s="1"/>
  <c r="L11" i="3"/>
  <c r="H48" i="3" s="1"/>
  <c r="L5" i="3"/>
  <c r="C18" i="3" s="1"/>
  <c r="G49" i="3"/>
  <c r="C49" i="3"/>
  <c r="G48" i="3"/>
  <c r="C48" i="3"/>
  <c r="G47" i="3"/>
  <c r="C47" i="3"/>
  <c r="G46" i="3"/>
  <c r="C46" i="3"/>
  <c r="G45" i="3"/>
  <c r="C45" i="3"/>
  <c r="G44" i="3"/>
  <c r="C44" i="3"/>
  <c r="G43" i="3"/>
  <c r="C43" i="3"/>
  <c r="G42" i="3"/>
  <c r="C42" i="3"/>
  <c r="G39" i="3"/>
  <c r="C39" i="3"/>
  <c r="G38" i="3"/>
  <c r="C38" i="3"/>
  <c r="G37" i="3"/>
  <c r="C37" i="3"/>
  <c r="G36" i="3"/>
  <c r="C36" i="3"/>
  <c r="G35" i="3"/>
  <c r="C35" i="3"/>
  <c r="G34" i="3"/>
  <c r="C34" i="3"/>
  <c r="G33" i="3"/>
  <c r="C33" i="3"/>
  <c r="G49" i="2"/>
  <c r="C49" i="2"/>
  <c r="G48" i="2"/>
  <c r="C48" i="2"/>
  <c r="G47" i="2"/>
  <c r="C47" i="2"/>
  <c r="G46" i="2"/>
  <c r="C46" i="2"/>
  <c r="G45" i="2"/>
  <c r="C45" i="2"/>
  <c r="G44" i="2"/>
  <c r="C44" i="2"/>
  <c r="G43" i="2"/>
  <c r="C43" i="2"/>
  <c r="G42" i="2"/>
  <c r="C42" i="2"/>
  <c r="G39" i="2"/>
  <c r="C39" i="2"/>
  <c r="G38" i="2"/>
  <c r="C38" i="2"/>
  <c r="G37" i="2"/>
  <c r="C37" i="2"/>
  <c r="G36" i="2"/>
  <c r="C36" i="2"/>
  <c r="G35" i="2"/>
  <c r="C35" i="2"/>
  <c r="G34" i="2"/>
  <c r="C34" i="2"/>
  <c r="G33" i="2"/>
  <c r="C33" i="2"/>
  <c r="E27" i="2"/>
  <c r="D25" i="2"/>
  <c r="D24" i="2"/>
  <c r="D23" i="2"/>
  <c r="D22" i="2"/>
  <c r="D21" i="2"/>
  <c r="D20" i="2"/>
  <c r="D19" i="2"/>
  <c r="D18" i="2"/>
  <c r="K13" i="2"/>
  <c r="H39" i="2" s="1"/>
  <c r="J13" i="2"/>
  <c r="H38" i="2" s="1"/>
  <c r="I13" i="2"/>
  <c r="H37" i="2" s="1"/>
  <c r="H13" i="2"/>
  <c r="H36" i="2" s="1"/>
  <c r="G13" i="2"/>
  <c r="H35" i="2" s="1"/>
  <c r="F13" i="2"/>
  <c r="H34" i="2" s="1"/>
  <c r="L12" i="2"/>
  <c r="H49" i="2" s="1"/>
  <c r="L11" i="2"/>
  <c r="H48" i="2" s="1"/>
  <c r="L10" i="2"/>
  <c r="H47" i="2" s="1"/>
  <c r="L9" i="2"/>
  <c r="H46" i="2" s="1"/>
  <c r="L8" i="2"/>
  <c r="H45" i="2" s="1"/>
  <c r="L7" i="2"/>
  <c r="C20" i="2" s="1"/>
  <c r="L6" i="2"/>
  <c r="H43" i="2" s="1"/>
  <c r="L5" i="2"/>
  <c r="H42" i="2" s="1"/>
  <c r="C25" i="4" l="1"/>
  <c r="E25" i="4" s="1"/>
  <c r="E22" i="4"/>
  <c r="H37" i="4"/>
  <c r="H36" i="4"/>
  <c r="H39" i="4"/>
  <c r="H45" i="4"/>
  <c r="H35" i="4"/>
  <c r="H43" i="4"/>
  <c r="H33" i="4"/>
  <c r="C24" i="4"/>
  <c r="E24" i="4" s="1"/>
  <c r="H42" i="4"/>
  <c r="C20" i="4"/>
  <c r="E20" i="4" s="1"/>
  <c r="H49" i="4"/>
  <c r="C23" i="4"/>
  <c r="E23" i="4" s="1"/>
  <c r="C18" i="4"/>
  <c r="E18" i="4" s="1"/>
  <c r="E34" i="4"/>
  <c r="E38" i="4"/>
  <c r="E44" i="4"/>
  <c r="E46" i="4"/>
  <c r="E48" i="4"/>
  <c r="H47" i="4"/>
  <c r="C21" i="4"/>
  <c r="E21" i="4" s="1"/>
  <c r="H46" i="4"/>
  <c r="C19" i="4"/>
  <c r="E19" i="4" s="1"/>
  <c r="E30" i="1"/>
  <c r="E22" i="1"/>
  <c r="E24" i="1"/>
  <c r="E20" i="1"/>
  <c r="C21" i="1"/>
  <c r="E21" i="1" s="1"/>
  <c r="C25" i="1"/>
  <c r="E25" i="1" s="1"/>
  <c r="C23" i="1"/>
  <c r="E23" i="1" s="1"/>
  <c r="H39" i="1"/>
  <c r="C18" i="1"/>
  <c r="E18" i="1" s="1"/>
  <c r="E37" i="1"/>
  <c r="E41" i="1"/>
  <c r="E45" i="1"/>
  <c r="E47" i="1"/>
  <c r="E49" i="1"/>
  <c r="E51" i="1"/>
  <c r="H47" i="1"/>
  <c r="H49" i="1"/>
  <c r="H51" i="1"/>
  <c r="C19" i="1"/>
  <c r="E19" i="1" s="1"/>
  <c r="E36" i="1"/>
  <c r="E38" i="1"/>
  <c r="E40" i="1"/>
  <c r="E42" i="1"/>
  <c r="E46" i="1"/>
  <c r="E48" i="1"/>
  <c r="E50" i="1"/>
  <c r="E52" i="1"/>
  <c r="E18" i="3"/>
  <c r="E19" i="3"/>
  <c r="E20" i="3"/>
  <c r="C23" i="3"/>
  <c r="E23" i="3" s="1"/>
  <c r="C24" i="3"/>
  <c r="E24" i="3" s="1"/>
  <c r="C21" i="3"/>
  <c r="E21" i="3" s="1"/>
  <c r="C25" i="3"/>
  <c r="E25" i="3" s="1"/>
  <c r="E22" i="3"/>
  <c r="H43" i="3"/>
  <c r="H42" i="3"/>
  <c r="E34" i="3"/>
  <c r="E36" i="3"/>
  <c r="E38" i="3"/>
  <c r="E42" i="3"/>
  <c r="E44" i="3"/>
  <c r="E46" i="3"/>
  <c r="E48" i="3"/>
  <c r="H44" i="3"/>
  <c r="H46" i="3"/>
  <c r="E33" i="3"/>
  <c r="E35" i="3"/>
  <c r="E37" i="3"/>
  <c r="E39" i="3"/>
  <c r="E43" i="3"/>
  <c r="E45" i="3"/>
  <c r="E47" i="3"/>
  <c r="E49" i="3"/>
  <c r="E35" i="2"/>
  <c r="C23" i="2"/>
  <c r="E23" i="2" s="1"/>
  <c r="C25" i="2"/>
  <c r="E25" i="2" s="1"/>
  <c r="E43" i="2"/>
  <c r="E47" i="2"/>
  <c r="E20" i="2"/>
  <c r="C22" i="2"/>
  <c r="E22" i="2" s="1"/>
  <c r="E39" i="2"/>
  <c r="E33" i="2"/>
  <c r="E37" i="2"/>
  <c r="E49" i="2"/>
  <c r="C18" i="2"/>
  <c r="E18" i="2" s="1"/>
  <c r="E34" i="2"/>
  <c r="E36" i="2"/>
  <c r="E38" i="2"/>
  <c r="E42" i="2"/>
  <c r="E44" i="2"/>
  <c r="E46" i="2"/>
  <c r="E48" i="2"/>
  <c r="E45" i="2"/>
  <c r="C21" i="2"/>
  <c r="E21" i="2" s="1"/>
  <c r="C24" i="2"/>
  <c r="E24" i="2" s="1"/>
  <c r="H44" i="2"/>
  <c r="C19" i="2"/>
  <c r="E19" i="2" s="1"/>
  <c r="E26" i="4" l="1"/>
  <c r="E28" i="4" s="1"/>
  <c r="E26" i="1"/>
  <c r="E28" i="1" s="1"/>
  <c r="E26" i="3"/>
  <c r="E28" i="3" s="1"/>
  <c r="E26" i="2"/>
  <c r="E28" i="2" s="1"/>
</calcChain>
</file>

<file path=xl/sharedStrings.xml><?xml version="1.0" encoding="utf-8"?>
<sst xmlns="http://schemas.openxmlformats.org/spreadsheetml/2006/main" count="405" uniqueCount="51">
  <si>
    <t>Solver Model — Step 2: Remaining 8 Applicants × 7 Positions (56 decision variables)</t>
  </si>
  <si>
    <t>Applicant</t>
  </si>
  <si>
    <t>Program</t>
  </si>
  <si>
    <t>Wage ($/BU)</t>
  </si>
  <si>
    <t>MATH150</t>
  </si>
  <si>
    <t>MATH254</t>
  </si>
  <si>
    <t>MACM316</t>
  </si>
  <si>
    <t>MATH260</t>
  </si>
  <si>
    <t>MATH338</t>
  </si>
  <si>
    <t>MATH342</t>
  </si>
  <si>
    <t>MATH426</t>
  </si>
  <si>
    <t>Total Worked BUs</t>
  </si>
  <si>
    <t>BU Min</t>
  </si>
  <si>
    <t>BU Max</t>
  </si>
  <si>
    <t>App1</t>
  </si>
  <si>
    <t>Ph.D.</t>
  </si>
  <si>
    <t>App3</t>
  </si>
  <si>
    <t>App4</t>
  </si>
  <si>
    <t>MSc</t>
  </si>
  <si>
    <t>App6</t>
  </si>
  <si>
    <t>App12</t>
  </si>
  <si>
    <t>App16</t>
  </si>
  <si>
    <t>App19</t>
  </si>
  <si>
    <t>App20</t>
  </si>
  <si>
    <t>Course Total</t>
  </si>
  <si>
    <t>Min Required</t>
  </si>
  <si>
    <t>Max Required</t>
  </si>
  <si>
    <t>Worked Cost ($)</t>
  </si>
  <si>
    <t>Prep Cost ($)</t>
  </si>
  <si>
    <t>Total Cost ($)</t>
  </si>
  <si>
    <t>Remaining Cost ($):</t>
  </si>
  <si>
    <t>Workshop Cost ($):</t>
  </si>
  <si>
    <t>GRAND TOTAL COST ($):</t>
  </si>
  <si>
    <t>Linear Objective (Worked BUs cost only — for Simplex LP):</t>
  </si>
  <si>
    <t>Constraints</t>
  </si>
  <si>
    <t>Min</t>
  </si>
  <si>
    <t>Actual</t>
  </si>
  <si>
    <t>Max</t>
  </si>
  <si>
    <t>OK?</t>
  </si>
  <si>
    <t>Course BU bounds</t>
  </si>
  <si>
    <t>&lt;=</t>
  </si>
  <si>
    <t>Applicant BU bounds</t>
  </si>
  <si>
    <t>App10</t>
  </si>
  <si>
    <t>App15</t>
  </si>
  <si>
    <t>LHS</t>
  </si>
  <si>
    <t>RHS</t>
  </si>
  <si>
    <t>Satisfied?</t>
  </si>
  <si>
    <t>Here we use the simplex answer as intitilaztion for grg</t>
  </si>
  <si>
    <t xml:space="preserve">here we linearize the model for better result </t>
  </si>
  <si>
    <t>played around with the initial starting values</t>
  </si>
  <si>
    <t>setup using help of python  decision variables for most optimal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</si>
</sst>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a\Downloads\Q3_final.xlsx" TargetMode="External"/><Relationship Id="rId1" Type="http://schemas.openxmlformats.org/officeDocument/2006/relationships/externalLinkPath" Target="Q3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op Assignments"/>
      <sheetName val="Solver Model"/>
    </sheetNames>
    <sheetDataSet>
      <sheetData sheetId="0">
        <row r="22">
          <cell r="D22">
            <v>61542.98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C33F-A500-47E9-833D-629F60343435}">
  <dimension ref="A1:O151"/>
  <sheetViews>
    <sheetView zoomScale="73" workbookViewId="0">
      <selection activeCell="L27" sqref="L27"/>
    </sheetView>
  </sheetViews>
  <sheetFormatPr defaultRowHeight="14.4" x14ac:dyDescent="0.3"/>
  <sheetData>
    <row r="1" spans="2:15" x14ac:dyDescent="0.3">
      <c r="B1" s="1" t="s">
        <v>0</v>
      </c>
      <c r="O1" s="16"/>
    </row>
    <row r="2" spans="2:15" x14ac:dyDescent="0.3">
      <c r="B2" s="2" t="s">
        <v>48</v>
      </c>
      <c r="O2" s="16"/>
    </row>
    <row r="3" spans="2:15" x14ac:dyDescent="0.3">
      <c r="O3" s="16"/>
    </row>
    <row r="4" spans="2:15" x14ac:dyDescent="0.3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16"/>
    </row>
    <row r="5" spans="2:15" x14ac:dyDescent="0.3">
      <c r="B5" s="4" t="s">
        <v>14</v>
      </c>
      <c r="C5" s="4" t="s">
        <v>15</v>
      </c>
      <c r="D5" s="4">
        <v>1662</v>
      </c>
      <c r="E5" s="5">
        <v>0.5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0.5</v>
      </c>
      <c r="L5" s="4">
        <f t="shared" ref="L5:L12" si="0">SUM(E5:K5)</f>
        <v>1</v>
      </c>
      <c r="M5" s="4">
        <v>1</v>
      </c>
      <c r="N5" s="4">
        <v>2</v>
      </c>
      <c r="O5" s="16"/>
    </row>
    <row r="6" spans="2:15" x14ac:dyDescent="0.3">
      <c r="B6" s="4" t="s">
        <v>16</v>
      </c>
      <c r="C6" s="4" t="s">
        <v>15</v>
      </c>
      <c r="D6" s="4">
        <v>1662</v>
      </c>
      <c r="E6" s="5">
        <v>0.5</v>
      </c>
      <c r="F6" s="5">
        <v>0</v>
      </c>
      <c r="G6" s="5">
        <v>0</v>
      </c>
      <c r="H6" s="5">
        <v>0</v>
      </c>
      <c r="I6" s="5">
        <v>0.5</v>
      </c>
      <c r="J6" s="5">
        <v>0</v>
      </c>
      <c r="K6" s="5">
        <v>0</v>
      </c>
      <c r="L6" s="4">
        <f t="shared" si="0"/>
        <v>1</v>
      </c>
      <c r="M6" s="4">
        <v>1</v>
      </c>
      <c r="N6" s="4">
        <v>1</v>
      </c>
      <c r="O6" s="16"/>
    </row>
    <row r="7" spans="2:15" x14ac:dyDescent="0.3">
      <c r="B7" s="4" t="s">
        <v>17</v>
      </c>
      <c r="C7" s="4" t="s">
        <v>18</v>
      </c>
      <c r="D7" s="4">
        <v>1432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3</v>
      </c>
      <c r="K7" s="5">
        <v>0</v>
      </c>
      <c r="L7" s="4">
        <f t="shared" si="0"/>
        <v>5</v>
      </c>
      <c r="M7" s="4">
        <v>5</v>
      </c>
      <c r="N7" s="4">
        <v>5</v>
      </c>
      <c r="O7" s="16"/>
    </row>
    <row r="8" spans="2:15" x14ac:dyDescent="0.3">
      <c r="B8" s="4" t="s">
        <v>19</v>
      </c>
      <c r="C8" s="4" t="s">
        <v>18</v>
      </c>
      <c r="D8" s="4">
        <v>1432</v>
      </c>
      <c r="E8" s="5">
        <v>0</v>
      </c>
      <c r="F8" s="5">
        <v>0</v>
      </c>
      <c r="G8" s="5">
        <v>0</v>
      </c>
      <c r="H8" s="5">
        <v>3</v>
      </c>
      <c r="I8" s="5">
        <v>0</v>
      </c>
      <c r="J8" s="5">
        <v>0</v>
      </c>
      <c r="K8" s="5">
        <v>0</v>
      </c>
      <c r="L8" s="4">
        <f t="shared" si="0"/>
        <v>3</v>
      </c>
      <c r="M8" s="4">
        <v>3</v>
      </c>
      <c r="N8" s="4">
        <v>3</v>
      </c>
      <c r="O8" s="16"/>
    </row>
    <row r="9" spans="2:15" x14ac:dyDescent="0.3">
      <c r="B9" s="4" t="s">
        <v>20</v>
      </c>
      <c r="C9" s="4" t="s">
        <v>15</v>
      </c>
      <c r="D9" s="4">
        <v>1662</v>
      </c>
      <c r="E9" s="5">
        <v>0.5</v>
      </c>
      <c r="F9" s="5">
        <v>0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4">
        <f t="shared" si="0"/>
        <v>2.5</v>
      </c>
      <c r="M9" s="4">
        <v>2</v>
      </c>
      <c r="N9" s="4">
        <v>4</v>
      </c>
      <c r="O9" s="16"/>
    </row>
    <row r="10" spans="2:15" x14ac:dyDescent="0.3">
      <c r="B10" s="4" t="s">
        <v>21</v>
      </c>
      <c r="C10" s="4" t="s">
        <v>18</v>
      </c>
      <c r="D10" s="4">
        <v>1432</v>
      </c>
      <c r="E10" s="5">
        <v>0</v>
      </c>
      <c r="F10" s="5">
        <v>0</v>
      </c>
      <c r="G10" s="5">
        <v>3</v>
      </c>
      <c r="H10" s="5">
        <v>1</v>
      </c>
      <c r="I10" s="5">
        <v>0</v>
      </c>
      <c r="J10" s="5">
        <v>0</v>
      </c>
      <c r="K10" s="5">
        <v>0</v>
      </c>
      <c r="L10" s="4">
        <f t="shared" si="0"/>
        <v>4</v>
      </c>
      <c r="M10" s="4">
        <v>2</v>
      </c>
      <c r="N10" s="4">
        <v>4</v>
      </c>
      <c r="O10" s="16"/>
    </row>
    <row r="11" spans="2:15" x14ac:dyDescent="0.3">
      <c r="B11" s="4" t="s">
        <v>22</v>
      </c>
      <c r="C11" s="4" t="s">
        <v>18</v>
      </c>
      <c r="D11" s="4">
        <v>1432</v>
      </c>
      <c r="E11" s="5">
        <v>0</v>
      </c>
      <c r="F11" s="5">
        <v>0</v>
      </c>
      <c r="G11" s="5">
        <v>4</v>
      </c>
      <c r="H11" s="5">
        <v>0</v>
      </c>
      <c r="I11" s="5">
        <v>0</v>
      </c>
      <c r="J11" s="5">
        <v>0</v>
      </c>
      <c r="K11" s="5">
        <v>0</v>
      </c>
      <c r="L11" s="4">
        <f t="shared" si="0"/>
        <v>4</v>
      </c>
      <c r="M11" s="4">
        <v>4</v>
      </c>
      <c r="N11" s="4">
        <v>4</v>
      </c>
      <c r="O11" s="16"/>
    </row>
    <row r="12" spans="2:15" x14ac:dyDescent="0.3">
      <c r="B12" s="4" t="s">
        <v>23</v>
      </c>
      <c r="C12" s="4" t="s">
        <v>18</v>
      </c>
      <c r="D12" s="4">
        <v>1432</v>
      </c>
      <c r="E12" s="5">
        <v>0</v>
      </c>
      <c r="F12" s="5">
        <v>1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4">
        <f t="shared" si="0"/>
        <v>3</v>
      </c>
      <c r="M12" s="4">
        <v>2</v>
      </c>
      <c r="N12" s="4">
        <v>3</v>
      </c>
      <c r="O12" s="16"/>
    </row>
    <row r="13" spans="2:15" x14ac:dyDescent="0.3">
      <c r="B13" s="3" t="s">
        <v>24</v>
      </c>
      <c r="E13" s="3">
        <f t="shared" ref="E13:K13" si="1">SUM(E5:E12)</f>
        <v>1.5</v>
      </c>
      <c r="F13" s="3">
        <f t="shared" si="1"/>
        <v>3</v>
      </c>
      <c r="G13" s="3">
        <f t="shared" si="1"/>
        <v>9</v>
      </c>
      <c r="H13" s="3">
        <f t="shared" si="1"/>
        <v>6</v>
      </c>
      <c r="I13" s="3">
        <f t="shared" si="1"/>
        <v>0.5</v>
      </c>
      <c r="J13" s="3">
        <f t="shared" si="1"/>
        <v>3</v>
      </c>
      <c r="K13" s="3">
        <f t="shared" si="1"/>
        <v>0.5</v>
      </c>
      <c r="O13" s="16"/>
    </row>
    <row r="14" spans="2:15" x14ac:dyDescent="0.3">
      <c r="B14" s="3" t="s">
        <v>25</v>
      </c>
      <c r="E14" s="4">
        <v>1.5</v>
      </c>
      <c r="F14" s="4">
        <v>3</v>
      </c>
      <c r="G14" s="4">
        <v>9</v>
      </c>
      <c r="H14" s="4">
        <v>6</v>
      </c>
      <c r="I14" s="4">
        <v>0.5</v>
      </c>
      <c r="J14" s="4">
        <v>3</v>
      </c>
      <c r="K14" s="4">
        <v>0.5</v>
      </c>
      <c r="O14" s="16"/>
    </row>
    <row r="15" spans="2:15" x14ac:dyDescent="0.3">
      <c r="B15" s="3" t="s">
        <v>26</v>
      </c>
      <c r="E15" s="4">
        <v>2</v>
      </c>
      <c r="F15" s="4">
        <v>3</v>
      </c>
      <c r="G15" s="4">
        <v>9</v>
      </c>
      <c r="H15" s="4">
        <v>7</v>
      </c>
      <c r="I15" s="4">
        <v>1.5</v>
      </c>
      <c r="J15" s="4">
        <v>3</v>
      </c>
      <c r="K15" s="4">
        <v>1.5</v>
      </c>
      <c r="O15" s="16"/>
    </row>
    <row r="16" spans="2:15" x14ac:dyDescent="0.3">
      <c r="O16" s="16"/>
    </row>
    <row r="17" spans="2:15" x14ac:dyDescent="0.3">
      <c r="B17" s="3" t="s">
        <v>1</v>
      </c>
      <c r="C17" s="3" t="s">
        <v>27</v>
      </c>
      <c r="D17" s="3" t="s">
        <v>28</v>
      </c>
      <c r="E17" s="3" t="s">
        <v>29</v>
      </c>
      <c r="O17" s="16"/>
    </row>
    <row r="18" spans="2:15" x14ac:dyDescent="0.3">
      <c r="B18" s="4" t="s">
        <v>14</v>
      </c>
      <c r="C18" s="4">
        <f>1662*L5</f>
        <v>1662</v>
      </c>
      <c r="D18" s="4">
        <f>1662*(IF(E5&gt;0,1.17,0)+IF(F5&gt;0,1.17,0)+IF(G5&gt;0,1.17,0)+IF(H5&gt;0,1.17,0)+IF(I5&gt;0,0,0)+IF(J5&gt;0,1.17,0)+IF(K5&gt;0,0,0))</f>
        <v>1944.54</v>
      </c>
      <c r="E18" s="4">
        <f t="shared" ref="E18:E25" si="2">C18+D18</f>
        <v>3606.54</v>
      </c>
      <c r="O18" s="16"/>
    </row>
    <row r="19" spans="2:15" x14ac:dyDescent="0.3">
      <c r="B19" s="4" t="s">
        <v>16</v>
      </c>
      <c r="C19" s="4">
        <f>1662*L6</f>
        <v>1662</v>
      </c>
      <c r="D19" s="4">
        <f>1662*(IF(E6&gt;0,1.17,0)+IF(F6&gt;0,1.17,0)+IF(G6&gt;0,1.17,0)+IF(H6&gt;0,1.17,0)+IF(I6&gt;0,0,0)+IF(J6&gt;0,1.17,0)+IF(K6&gt;0,0,0))</f>
        <v>1944.54</v>
      </c>
      <c r="E19" s="4">
        <f t="shared" si="2"/>
        <v>3606.54</v>
      </c>
      <c r="O19" s="16"/>
    </row>
    <row r="20" spans="2:15" x14ac:dyDescent="0.3">
      <c r="B20" s="4" t="s">
        <v>17</v>
      </c>
      <c r="C20" s="4">
        <f>1432*L7</f>
        <v>7160</v>
      </c>
      <c r="D20" s="4">
        <f>1432*(IF(E7&gt;0,1.17,0)+IF(F7&gt;0,1.17,0)+IF(G7&gt;0,1.17,0)+IF(H7&gt;0,1.17,0)+IF(I7&gt;0,0,0)+IF(J7&gt;0,1.17,0)+IF(K7&gt;0,0,0))</f>
        <v>3350.8799999999997</v>
      </c>
      <c r="E20" s="4">
        <f t="shared" si="2"/>
        <v>10510.88</v>
      </c>
      <c r="O20" s="16"/>
    </row>
    <row r="21" spans="2:15" x14ac:dyDescent="0.3">
      <c r="B21" s="4" t="s">
        <v>19</v>
      </c>
      <c r="C21" s="4">
        <f>1432*L8</f>
        <v>4296</v>
      </c>
      <c r="D21" s="4">
        <f>1432*(IF(E8&gt;0,1.17,0)+IF(F8&gt;0,1.17,0)+IF(G8&gt;0,1.17,0)+IF(H8&gt;0,1.17,0)+IF(I8&gt;0,0,0)+IF(J8&gt;0,1.17,0)+IF(K8&gt;0,0,0))</f>
        <v>1675.4399999999998</v>
      </c>
      <c r="E21" s="4">
        <f t="shared" si="2"/>
        <v>5971.44</v>
      </c>
      <c r="O21" s="16"/>
    </row>
    <row r="22" spans="2:15" x14ac:dyDescent="0.3">
      <c r="B22" s="4" t="s">
        <v>20</v>
      </c>
      <c r="C22" s="4">
        <f>1662*L9</f>
        <v>4155</v>
      </c>
      <c r="D22" s="4">
        <f>1662*(IF(E9&gt;0,1.17,0)+IF(F9&gt;0,1.17,0)+IF(G9&gt;0,1.17,0)+IF(H9&gt;0,1.17,0)+IF(I9&gt;0,0,0)+IF(J9&gt;0,1.17,0)+IF(K9&gt;0,0,0))</f>
        <v>3889.08</v>
      </c>
      <c r="E22" s="4">
        <f t="shared" si="2"/>
        <v>8044.08</v>
      </c>
      <c r="O22" s="16"/>
    </row>
    <row r="23" spans="2:15" x14ac:dyDescent="0.3">
      <c r="B23" s="4" t="s">
        <v>21</v>
      </c>
      <c r="C23" s="4">
        <f>1432*L10</f>
        <v>5728</v>
      </c>
      <c r="D23" s="4">
        <f>1432*(IF(E10&gt;0,1.17,0)+IF(F10&gt;0,1.17,0)+IF(G10&gt;0,1.17,0)+IF(H10&gt;0,1.17,0)+IF(I10&gt;0,0,0)+IF(J10&gt;0,1.17,0)+IF(K10&gt;0,0,0))</f>
        <v>3350.8799999999997</v>
      </c>
      <c r="E23" s="4">
        <f t="shared" si="2"/>
        <v>9078.8799999999992</v>
      </c>
      <c r="O23" s="16"/>
    </row>
    <row r="24" spans="2:15" x14ac:dyDescent="0.3">
      <c r="B24" s="4" t="s">
        <v>22</v>
      </c>
      <c r="C24" s="4">
        <f>1432*L11</f>
        <v>5728</v>
      </c>
      <c r="D24" s="4">
        <f>1432*(IF(E11&gt;0,1.17,0)+IF(F11&gt;0,1.17,0)+IF(G11&gt;0,1.17,0)+IF(H11&gt;0,1.17,0)+IF(I11&gt;0,0,0)+IF(J11&gt;0,1.17,0)+IF(K11&gt;0,0,0))</f>
        <v>1675.4399999999998</v>
      </c>
      <c r="E24" s="4">
        <f t="shared" si="2"/>
        <v>7403.44</v>
      </c>
      <c r="O24" s="16"/>
    </row>
    <row r="25" spans="2:15" x14ac:dyDescent="0.3">
      <c r="B25" s="4" t="s">
        <v>23</v>
      </c>
      <c r="C25" s="4">
        <f>1432*L12</f>
        <v>4296</v>
      </c>
      <c r="D25" s="4">
        <f>1432*(IF(E12&gt;0,1.17,0)+IF(F12&gt;0,1.17,0)+IF(G12&gt;0,1.17,0)+IF(H12&gt;0,1.17,0)+IF(I12&gt;0,0,0)+IF(J12&gt;0,1.17,0)+IF(K12&gt;0,0,0))</f>
        <v>3350.8799999999997</v>
      </c>
      <c r="E25" s="4">
        <f t="shared" si="2"/>
        <v>7646.8799999999992</v>
      </c>
      <c r="O25" s="16"/>
    </row>
    <row r="26" spans="2:15" x14ac:dyDescent="0.3">
      <c r="B26" s="3" t="s">
        <v>30</v>
      </c>
      <c r="E26" s="3">
        <f>SUM(E18:E25)</f>
        <v>55868.679999999993</v>
      </c>
      <c r="O26" s="16"/>
    </row>
    <row r="27" spans="2:15" x14ac:dyDescent="0.3">
      <c r="B27" s="3" t="s">
        <v>31</v>
      </c>
      <c r="E27" s="4">
        <v>61542.98</v>
      </c>
      <c r="O27" s="16"/>
    </row>
    <row r="28" spans="2:15" x14ac:dyDescent="0.3">
      <c r="B28" s="3" t="s">
        <v>32</v>
      </c>
      <c r="E28" s="3">
        <f>E26+E27</f>
        <v>117411.66</v>
      </c>
      <c r="O28" s="16"/>
    </row>
    <row r="29" spans="2:15" x14ac:dyDescent="0.3">
      <c r="O29" s="16"/>
    </row>
    <row r="30" spans="2:15" x14ac:dyDescent="0.3">
      <c r="B30" s="1" t="s">
        <v>33</v>
      </c>
      <c r="E30" s="3">
        <f>SUMPRODUCT(D5:D12,L5:L12)</f>
        <v>34687</v>
      </c>
    </row>
    <row r="31" spans="2:15" x14ac:dyDescent="0.3">
      <c r="B31" s="2"/>
    </row>
    <row r="32" spans="2:15" x14ac:dyDescent="0.3">
      <c r="O32" s="16"/>
    </row>
    <row r="33" spans="2:15" x14ac:dyDescent="0.3">
      <c r="B33" s="1" t="s">
        <v>34</v>
      </c>
      <c r="O33" s="16"/>
    </row>
    <row r="34" spans="2:15" x14ac:dyDescent="0.3">
      <c r="C34" s="3" t="s">
        <v>35</v>
      </c>
      <c r="D34" s="3"/>
      <c r="E34" s="3" t="s">
        <v>36</v>
      </c>
      <c r="F34" s="3"/>
      <c r="G34" s="3" t="s">
        <v>37</v>
      </c>
      <c r="H34" s="3" t="s">
        <v>38</v>
      </c>
      <c r="O34" s="16"/>
    </row>
    <row r="35" spans="2:15" x14ac:dyDescent="0.3">
      <c r="B35" s="1" t="s">
        <v>39</v>
      </c>
      <c r="O35" s="16"/>
    </row>
    <row r="36" spans="2:15" x14ac:dyDescent="0.3">
      <c r="B36" s="2" t="s">
        <v>4</v>
      </c>
      <c r="C36" s="4">
        <f>E14</f>
        <v>1.5</v>
      </c>
      <c r="D36" s="4" t="s">
        <v>40</v>
      </c>
      <c r="E36" s="4">
        <f>E13</f>
        <v>1.5</v>
      </c>
      <c r="F36" s="4" t="s">
        <v>40</v>
      </c>
      <c r="G36" s="4">
        <f>E15</f>
        <v>2</v>
      </c>
      <c r="H36" s="4" t="str">
        <f>IF(AND(E13&gt;=E14,E13&lt;=E15),"OK","FAIL")</f>
        <v>OK</v>
      </c>
      <c r="O36" s="16"/>
    </row>
    <row r="37" spans="2:15" x14ac:dyDescent="0.3">
      <c r="B37" s="2" t="s">
        <v>5</v>
      </c>
      <c r="C37" s="4">
        <f>F14</f>
        <v>3</v>
      </c>
      <c r="D37" s="4" t="s">
        <v>40</v>
      </c>
      <c r="E37" s="4">
        <f>F13</f>
        <v>3</v>
      </c>
      <c r="F37" s="4" t="s">
        <v>40</v>
      </c>
      <c r="G37" s="4">
        <f>F15</f>
        <v>3</v>
      </c>
      <c r="H37" s="4" t="str">
        <f>IF(AND(F13&gt;=F14,F13&lt;=F15),"OK","FAIL")</f>
        <v>OK</v>
      </c>
      <c r="O37" s="16"/>
    </row>
    <row r="38" spans="2:15" x14ac:dyDescent="0.3">
      <c r="B38" s="2" t="s">
        <v>6</v>
      </c>
      <c r="C38" s="4">
        <f>G14</f>
        <v>9</v>
      </c>
      <c r="D38" s="4" t="s">
        <v>40</v>
      </c>
      <c r="E38" s="4">
        <f>G13</f>
        <v>9</v>
      </c>
      <c r="F38" s="4" t="s">
        <v>40</v>
      </c>
      <c r="G38" s="4">
        <f>G15</f>
        <v>9</v>
      </c>
      <c r="H38" s="4" t="str">
        <f>IF(AND(G13&gt;=G14,G13&lt;=G15),"OK","FAIL")</f>
        <v>OK</v>
      </c>
      <c r="O38" s="16"/>
    </row>
    <row r="39" spans="2:15" x14ac:dyDescent="0.3">
      <c r="B39" s="2" t="s">
        <v>7</v>
      </c>
      <c r="C39" s="4">
        <f>H14</f>
        <v>6</v>
      </c>
      <c r="D39" s="4" t="s">
        <v>40</v>
      </c>
      <c r="E39" s="4">
        <f>H13</f>
        <v>6</v>
      </c>
      <c r="F39" s="4" t="s">
        <v>40</v>
      </c>
      <c r="G39" s="4">
        <f>H15</f>
        <v>7</v>
      </c>
      <c r="H39" s="4" t="str">
        <f>IF(AND(H13&gt;=H14,H13&lt;=H15),"OK","FAIL")</f>
        <v>OK</v>
      </c>
      <c r="O39" s="16"/>
    </row>
    <row r="40" spans="2:15" x14ac:dyDescent="0.3">
      <c r="B40" s="2" t="s">
        <v>8</v>
      </c>
      <c r="C40" s="4">
        <f>I14</f>
        <v>0.5</v>
      </c>
      <c r="D40" s="4" t="s">
        <v>40</v>
      </c>
      <c r="E40" s="4">
        <f>I13</f>
        <v>0.5</v>
      </c>
      <c r="F40" s="4" t="s">
        <v>40</v>
      </c>
      <c r="G40" s="4">
        <f>I15</f>
        <v>1.5</v>
      </c>
      <c r="H40" s="4" t="str">
        <f>IF(AND(I13&gt;=I14,I13&lt;=I15),"OK","FAIL")</f>
        <v>OK</v>
      </c>
      <c r="O40" s="16"/>
    </row>
    <row r="41" spans="2:15" x14ac:dyDescent="0.3">
      <c r="B41" s="2" t="s">
        <v>9</v>
      </c>
      <c r="C41" s="4">
        <f>J14</f>
        <v>3</v>
      </c>
      <c r="D41" s="4" t="s">
        <v>40</v>
      </c>
      <c r="E41" s="4">
        <f>J13</f>
        <v>3</v>
      </c>
      <c r="F41" s="4" t="s">
        <v>40</v>
      </c>
      <c r="G41" s="4">
        <f>J15</f>
        <v>3</v>
      </c>
      <c r="H41" s="4" t="str">
        <f>IF(AND(J13&gt;=J14,J13&lt;=J15),"OK","FAIL")</f>
        <v>OK</v>
      </c>
      <c r="O41" s="16"/>
    </row>
    <row r="42" spans="2:15" x14ac:dyDescent="0.3">
      <c r="B42" s="2" t="s">
        <v>10</v>
      </c>
      <c r="C42" s="4">
        <f>K14</f>
        <v>0.5</v>
      </c>
      <c r="D42" s="4" t="s">
        <v>40</v>
      </c>
      <c r="E42" s="4">
        <f>K13</f>
        <v>0.5</v>
      </c>
      <c r="F42" s="4" t="s">
        <v>40</v>
      </c>
      <c r="G42" s="4">
        <f>K15</f>
        <v>1.5</v>
      </c>
      <c r="H42" s="4" t="str">
        <f>IF(AND(K13&gt;=K14,K13&lt;=K15),"OK","FAIL")</f>
        <v>OK</v>
      </c>
      <c r="O42" s="16"/>
    </row>
    <row r="43" spans="2:15" x14ac:dyDescent="0.3">
      <c r="O43" s="16"/>
    </row>
    <row r="44" spans="2:15" x14ac:dyDescent="0.3">
      <c r="B44" s="1" t="s">
        <v>41</v>
      </c>
      <c r="O44" s="16"/>
    </row>
    <row r="45" spans="2:15" x14ac:dyDescent="0.3">
      <c r="B45" s="2" t="s">
        <v>14</v>
      </c>
      <c r="C45" s="4">
        <f t="shared" ref="C45:C52" si="3">M5</f>
        <v>1</v>
      </c>
      <c r="D45" s="4" t="s">
        <v>40</v>
      </c>
      <c r="E45" s="4">
        <f t="shared" ref="E45:E52" si="4">L5</f>
        <v>1</v>
      </c>
      <c r="F45" s="4" t="s">
        <v>40</v>
      </c>
      <c r="G45" s="4">
        <f t="shared" ref="G45:G52" si="5">N5</f>
        <v>2</v>
      </c>
      <c r="H45" s="4" t="str">
        <f t="shared" ref="H45:H52" si="6">IF(AND(L5&gt;=M5,L5&lt;=N5),"OK","FAIL")</f>
        <v>OK</v>
      </c>
      <c r="O45" s="16"/>
    </row>
    <row r="46" spans="2:15" x14ac:dyDescent="0.3">
      <c r="B46" s="2" t="s">
        <v>16</v>
      </c>
      <c r="C46" s="4">
        <f t="shared" si="3"/>
        <v>1</v>
      </c>
      <c r="D46" s="4" t="s">
        <v>40</v>
      </c>
      <c r="E46" s="4">
        <f t="shared" si="4"/>
        <v>1</v>
      </c>
      <c r="F46" s="4" t="s">
        <v>40</v>
      </c>
      <c r="G46" s="4">
        <f t="shared" si="5"/>
        <v>1</v>
      </c>
      <c r="H46" s="4" t="str">
        <f t="shared" si="6"/>
        <v>OK</v>
      </c>
      <c r="O46" s="16"/>
    </row>
    <row r="47" spans="2:15" x14ac:dyDescent="0.3">
      <c r="B47" s="2" t="s">
        <v>17</v>
      </c>
      <c r="C47" s="4">
        <f t="shared" si="3"/>
        <v>5</v>
      </c>
      <c r="D47" s="4" t="s">
        <v>40</v>
      </c>
      <c r="E47" s="4">
        <f t="shared" si="4"/>
        <v>5</v>
      </c>
      <c r="F47" s="4" t="s">
        <v>40</v>
      </c>
      <c r="G47" s="4">
        <f t="shared" si="5"/>
        <v>5</v>
      </c>
      <c r="H47" s="4" t="str">
        <f t="shared" si="6"/>
        <v>OK</v>
      </c>
      <c r="O47" s="16"/>
    </row>
    <row r="48" spans="2:15" x14ac:dyDescent="0.3">
      <c r="B48" s="2" t="s">
        <v>19</v>
      </c>
      <c r="C48" s="4">
        <f t="shared" si="3"/>
        <v>3</v>
      </c>
      <c r="D48" s="4" t="s">
        <v>40</v>
      </c>
      <c r="E48" s="4">
        <f t="shared" si="4"/>
        <v>3</v>
      </c>
      <c r="F48" s="4" t="s">
        <v>40</v>
      </c>
      <c r="G48" s="4">
        <f t="shared" si="5"/>
        <v>3</v>
      </c>
      <c r="H48" s="4" t="str">
        <f t="shared" si="6"/>
        <v>OK</v>
      </c>
      <c r="O48" s="16"/>
    </row>
    <row r="49" spans="1:15" x14ac:dyDescent="0.3">
      <c r="B49" s="2" t="s">
        <v>20</v>
      </c>
      <c r="C49" s="4">
        <f t="shared" si="3"/>
        <v>2</v>
      </c>
      <c r="D49" s="4" t="s">
        <v>40</v>
      </c>
      <c r="E49" s="4">
        <f t="shared" si="4"/>
        <v>2.5</v>
      </c>
      <c r="F49" s="4" t="s">
        <v>40</v>
      </c>
      <c r="G49" s="4">
        <f t="shared" si="5"/>
        <v>4</v>
      </c>
      <c r="H49" s="4" t="str">
        <f t="shared" si="6"/>
        <v>OK</v>
      </c>
      <c r="O49" s="16"/>
    </row>
    <row r="50" spans="1:15" x14ac:dyDescent="0.3">
      <c r="B50" s="2" t="s">
        <v>21</v>
      </c>
      <c r="C50" s="4">
        <f t="shared" si="3"/>
        <v>2</v>
      </c>
      <c r="D50" s="4" t="s">
        <v>40</v>
      </c>
      <c r="E50" s="4">
        <f t="shared" si="4"/>
        <v>4</v>
      </c>
      <c r="F50" s="4" t="s">
        <v>40</v>
      </c>
      <c r="G50" s="4">
        <f t="shared" si="5"/>
        <v>4</v>
      </c>
      <c r="H50" s="4" t="str">
        <f t="shared" si="6"/>
        <v>OK</v>
      </c>
      <c r="O50" s="16"/>
    </row>
    <row r="51" spans="1:15" x14ac:dyDescent="0.3">
      <c r="B51" s="2" t="s">
        <v>22</v>
      </c>
      <c r="C51" s="4">
        <f t="shared" si="3"/>
        <v>4</v>
      </c>
      <c r="D51" s="4" t="s">
        <v>40</v>
      </c>
      <c r="E51" s="4">
        <f t="shared" si="4"/>
        <v>4</v>
      </c>
      <c r="F51" s="4" t="s">
        <v>40</v>
      </c>
      <c r="G51" s="4">
        <f t="shared" si="5"/>
        <v>4</v>
      </c>
      <c r="H51" s="4" t="str">
        <f t="shared" si="6"/>
        <v>OK</v>
      </c>
      <c r="O51" s="16"/>
    </row>
    <row r="52" spans="1:15" x14ac:dyDescent="0.3">
      <c r="B52" s="2" t="s">
        <v>23</v>
      </c>
      <c r="C52" s="4">
        <f t="shared" si="3"/>
        <v>2</v>
      </c>
      <c r="D52" s="4" t="s">
        <v>40</v>
      </c>
      <c r="E52" s="4">
        <f t="shared" si="4"/>
        <v>3</v>
      </c>
      <c r="F52" s="4" t="s">
        <v>40</v>
      </c>
      <c r="G52" s="4">
        <f t="shared" si="5"/>
        <v>3</v>
      </c>
      <c r="H52" s="4" t="str">
        <f t="shared" si="6"/>
        <v>OK</v>
      </c>
      <c r="O52" s="16"/>
    </row>
    <row r="53" spans="1:15" x14ac:dyDescent="0.3">
      <c r="O53" s="16"/>
    </row>
    <row r="54" spans="1:15" x14ac:dyDescent="0.3">
      <c r="O54" s="16"/>
    </row>
    <row r="55" spans="1:15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1:15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1:15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1:15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1:15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1:15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1:15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1:15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1:15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1:15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1:15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1:15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1:15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1:15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1:15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1:15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1:15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1:15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1:15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1:15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5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5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1:15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1:15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1:15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1:15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1:15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1:15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1:15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1:15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1:15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1:15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1:15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1:15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1:15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1:15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1:15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1:15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1:15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1:15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1:15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1:15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691A-BBC6-4152-9267-DCBCEF029F35}">
  <dimension ref="A1:N50"/>
  <sheetViews>
    <sheetView zoomScale="67" workbookViewId="0">
      <selection activeCell="E5" sqref="E5:K12"/>
    </sheetView>
  </sheetViews>
  <sheetFormatPr defaultRowHeight="14.4" x14ac:dyDescent="0.3"/>
  <sheetData>
    <row r="1" spans="1:1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6"/>
      <c r="B2" s="7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6"/>
      <c r="C3" s="6"/>
      <c r="E3" s="6"/>
      <c r="F3" s="6"/>
      <c r="G3" s="6" t="s">
        <v>47</v>
      </c>
      <c r="H3" s="6"/>
      <c r="I3" s="6"/>
      <c r="J3" s="6"/>
      <c r="K3" s="6"/>
      <c r="L3" s="6"/>
      <c r="M3" s="6"/>
      <c r="N3" s="6"/>
    </row>
    <row r="4" spans="1:14" x14ac:dyDescent="0.3">
      <c r="A4" s="6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</row>
    <row r="5" spans="1:14" x14ac:dyDescent="0.3">
      <c r="A5" s="6"/>
      <c r="B5" s="9" t="s">
        <v>14</v>
      </c>
      <c r="C5" s="9" t="s">
        <v>15</v>
      </c>
      <c r="D5" s="9">
        <v>1662</v>
      </c>
      <c r="E5" s="5">
        <v>0.5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0.5</v>
      </c>
      <c r="L5" s="9">
        <f>SUM(E5:K5)</f>
        <v>1</v>
      </c>
      <c r="M5" s="9">
        <v>1</v>
      </c>
      <c r="N5" s="9">
        <v>2</v>
      </c>
    </row>
    <row r="6" spans="1:14" x14ac:dyDescent="0.3">
      <c r="A6" s="6"/>
      <c r="B6" s="9" t="s">
        <v>16</v>
      </c>
      <c r="C6" s="9" t="s">
        <v>15</v>
      </c>
      <c r="D6" s="9">
        <v>1662</v>
      </c>
      <c r="E6" s="5">
        <v>0.5</v>
      </c>
      <c r="F6" s="5">
        <v>0</v>
      </c>
      <c r="G6" s="5">
        <v>0</v>
      </c>
      <c r="H6" s="5">
        <v>0</v>
      </c>
      <c r="I6" s="5">
        <v>0.5</v>
      </c>
      <c r="J6" s="5">
        <v>0</v>
      </c>
      <c r="K6" s="5">
        <v>0</v>
      </c>
      <c r="L6" s="9">
        <f>SUM(E6:K6)</f>
        <v>1</v>
      </c>
      <c r="M6" s="9">
        <v>1</v>
      </c>
      <c r="N6" s="9">
        <v>1</v>
      </c>
    </row>
    <row r="7" spans="1:14" x14ac:dyDescent="0.3">
      <c r="A7" s="6"/>
      <c r="B7" s="9" t="s">
        <v>17</v>
      </c>
      <c r="C7" s="9" t="s">
        <v>18</v>
      </c>
      <c r="D7" s="9">
        <v>1432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3</v>
      </c>
      <c r="K7" s="5">
        <v>0</v>
      </c>
      <c r="L7" s="9">
        <f t="shared" ref="L7:L12" si="0">SUM(E7:K7)</f>
        <v>5</v>
      </c>
      <c r="M7" s="9">
        <v>5</v>
      </c>
      <c r="N7" s="9">
        <v>5</v>
      </c>
    </row>
    <row r="8" spans="1:14" x14ac:dyDescent="0.3">
      <c r="A8" s="6"/>
      <c r="B8" s="9" t="s">
        <v>19</v>
      </c>
      <c r="C8" s="9" t="s">
        <v>18</v>
      </c>
      <c r="D8" s="9">
        <v>1432</v>
      </c>
      <c r="E8" s="5">
        <v>0</v>
      </c>
      <c r="F8" s="5">
        <v>0</v>
      </c>
      <c r="G8" s="5">
        <v>0</v>
      </c>
      <c r="H8" s="5">
        <v>3</v>
      </c>
      <c r="I8" s="5">
        <v>0</v>
      </c>
      <c r="J8" s="5">
        <v>0</v>
      </c>
      <c r="K8" s="5">
        <v>0</v>
      </c>
      <c r="L8" s="9">
        <f t="shared" si="0"/>
        <v>3</v>
      </c>
      <c r="M8" s="9">
        <v>3</v>
      </c>
      <c r="N8" s="9">
        <v>3</v>
      </c>
    </row>
    <row r="9" spans="1:14" x14ac:dyDescent="0.3">
      <c r="A9" s="6"/>
      <c r="B9" s="9" t="s">
        <v>42</v>
      </c>
      <c r="C9" s="9" t="s">
        <v>15</v>
      </c>
      <c r="D9" s="9">
        <v>1662</v>
      </c>
      <c r="E9" s="5">
        <v>0.5</v>
      </c>
      <c r="F9" s="5">
        <v>0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9">
        <f t="shared" si="0"/>
        <v>2.5</v>
      </c>
      <c r="M9" s="9">
        <v>2</v>
      </c>
      <c r="N9" s="9">
        <v>3</v>
      </c>
    </row>
    <row r="10" spans="1:14" x14ac:dyDescent="0.3">
      <c r="A10" s="6"/>
      <c r="B10" s="9" t="s">
        <v>20</v>
      </c>
      <c r="C10" s="9" t="s">
        <v>15</v>
      </c>
      <c r="D10" s="9">
        <v>1662</v>
      </c>
      <c r="E10" s="5">
        <v>0</v>
      </c>
      <c r="F10" s="5">
        <v>0</v>
      </c>
      <c r="G10" s="5">
        <v>3</v>
      </c>
      <c r="H10" s="5">
        <v>1</v>
      </c>
      <c r="I10" s="5">
        <v>0</v>
      </c>
      <c r="J10" s="5">
        <v>0</v>
      </c>
      <c r="K10" s="5">
        <v>0</v>
      </c>
      <c r="L10" s="9">
        <f t="shared" si="0"/>
        <v>4</v>
      </c>
      <c r="M10" s="9">
        <v>2</v>
      </c>
      <c r="N10" s="9">
        <v>4</v>
      </c>
    </row>
    <row r="11" spans="1:14" x14ac:dyDescent="0.3">
      <c r="A11" s="6"/>
      <c r="B11" s="9" t="s">
        <v>43</v>
      </c>
      <c r="C11" s="9" t="s">
        <v>15</v>
      </c>
      <c r="D11" s="9">
        <v>1662</v>
      </c>
      <c r="E11" s="5">
        <v>0</v>
      </c>
      <c r="F11" s="5">
        <v>0</v>
      </c>
      <c r="G11" s="5">
        <v>4</v>
      </c>
      <c r="H11" s="5">
        <v>0</v>
      </c>
      <c r="I11" s="5">
        <v>0</v>
      </c>
      <c r="J11" s="5">
        <v>0</v>
      </c>
      <c r="K11" s="5">
        <v>0</v>
      </c>
      <c r="L11" s="9">
        <f t="shared" si="0"/>
        <v>4</v>
      </c>
      <c r="M11" s="9">
        <v>2</v>
      </c>
      <c r="N11" s="9">
        <v>2</v>
      </c>
    </row>
    <row r="12" spans="1:14" x14ac:dyDescent="0.3">
      <c r="A12" s="6"/>
      <c r="B12" s="9" t="s">
        <v>21</v>
      </c>
      <c r="C12" s="9" t="s">
        <v>18</v>
      </c>
      <c r="D12" s="9">
        <v>1432</v>
      </c>
      <c r="E12" s="5">
        <v>0</v>
      </c>
      <c r="F12" s="5">
        <v>1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9">
        <f>SUM(E12:K12)</f>
        <v>3</v>
      </c>
      <c r="M12" s="9">
        <v>2</v>
      </c>
      <c r="N12" s="9">
        <v>4</v>
      </c>
    </row>
    <row r="13" spans="1:14" x14ac:dyDescent="0.3">
      <c r="A13" s="6"/>
      <c r="B13" s="11" t="s">
        <v>24</v>
      </c>
      <c r="C13" s="11"/>
      <c r="D13" s="11"/>
      <c r="E13" s="8">
        <f>SUM(E5:E12)</f>
        <v>1.5</v>
      </c>
      <c r="F13" s="8">
        <f t="shared" ref="F13:K13" si="1">SUM(F5:F12)</f>
        <v>3</v>
      </c>
      <c r="G13" s="8">
        <f t="shared" si="1"/>
        <v>9</v>
      </c>
      <c r="H13" s="8">
        <f t="shared" si="1"/>
        <v>6</v>
      </c>
      <c r="I13" s="8">
        <f t="shared" si="1"/>
        <v>0.5</v>
      </c>
      <c r="J13" s="8">
        <f t="shared" si="1"/>
        <v>3</v>
      </c>
      <c r="K13" s="8">
        <f t="shared" si="1"/>
        <v>0.5</v>
      </c>
      <c r="L13" s="6"/>
      <c r="M13" s="6"/>
      <c r="N13" s="6"/>
    </row>
    <row r="14" spans="1:14" x14ac:dyDescent="0.3">
      <c r="A14" s="6"/>
      <c r="B14" s="11" t="s">
        <v>25</v>
      </c>
      <c r="C14" s="11"/>
      <c r="D14" s="11"/>
      <c r="E14" s="9">
        <v>1.5</v>
      </c>
      <c r="F14" s="9">
        <v>3</v>
      </c>
      <c r="G14" s="9">
        <v>9</v>
      </c>
      <c r="H14" s="9">
        <v>6</v>
      </c>
      <c r="I14" s="9">
        <v>0.5</v>
      </c>
      <c r="J14" s="9">
        <v>3</v>
      </c>
      <c r="K14" s="9">
        <v>0.5</v>
      </c>
      <c r="L14" s="6"/>
      <c r="M14" s="6"/>
      <c r="N14" s="6"/>
    </row>
    <row r="15" spans="1:14" x14ac:dyDescent="0.3">
      <c r="A15" s="6"/>
      <c r="B15" s="11" t="s">
        <v>26</v>
      </c>
      <c r="C15" s="11"/>
      <c r="D15" s="11"/>
      <c r="E15" s="9">
        <v>2</v>
      </c>
      <c r="F15" s="9">
        <v>3</v>
      </c>
      <c r="G15" s="9">
        <v>9</v>
      </c>
      <c r="H15" s="9">
        <v>7</v>
      </c>
      <c r="I15" s="9">
        <v>1.5</v>
      </c>
      <c r="J15" s="9">
        <v>3</v>
      </c>
      <c r="K15" s="9">
        <v>1.5</v>
      </c>
      <c r="L15" s="6"/>
      <c r="M15" s="6"/>
      <c r="N15" s="6"/>
    </row>
    <row r="16" spans="1:1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s="6"/>
      <c r="B17" s="8" t="s">
        <v>1</v>
      </c>
      <c r="C17" s="8" t="s">
        <v>27</v>
      </c>
      <c r="D17" s="8" t="s">
        <v>28</v>
      </c>
      <c r="E17" s="8" t="s">
        <v>29</v>
      </c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6"/>
      <c r="B18" s="9" t="s">
        <v>14</v>
      </c>
      <c r="C18" s="9">
        <f t="shared" ref="C18:C25" si="2">D5*L5</f>
        <v>1662</v>
      </c>
      <c r="D18" s="9">
        <f t="shared" ref="D18:D25" si="3">D5*(IF(E5&gt;0,1.17,0)+IF(F5&gt;0,1.17,0)+IF(G5&gt;0,1.17,0)+IF(H5&gt;0,1.17,0)+IF(I5&gt;0,0,0)+IF(J5&gt;0,1.17,0)+IF(K5&gt;0,0,0))</f>
        <v>1944.54</v>
      </c>
      <c r="E18" s="9">
        <f t="shared" ref="E18:E25" si="4">C18+D18</f>
        <v>3606.54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">
      <c r="A19" s="6"/>
      <c r="B19" s="9" t="s">
        <v>16</v>
      </c>
      <c r="C19" s="9">
        <f t="shared" si="2"/>
        <v>1662</v>
      </c>
      <c r="D19" s="9">
        <f t="shared" si="3"/>
        <v>1944.54</v>
      </c>
      <c r="E19" s="9">
        <f t="shared" si="4"/>
        <v>3606.54</v>
      </c>
      <c r="F19" s="6"/>
      <c r="G19" s="6"/>
      <c r="H19" s="6"/>
      <c r="I19" s="6"/>
      <c r="J19" s="6"/>
      <c r="K19" s="6"/>
      <c r="L19" s="6"/>
      <c r="M19" s="6"/>
    </row>
    <row r="20" spans="1:14" x14ac:dyDescent="0.3">
      <c r="A20" s="6"/>
      <c r="B20" s="9" t="s">
        <v>17</v>
      </c>
      <c r="C20" s="9">
        <f t="shared" si="2"/>
        <v>7160</v>
      </c>
      <c r="D20" s="9">
        <f t="shared" si="3"/>
        <v>3350.8799999999997</v>
      </c>
      <c r="E20" s="9">
        <f t="shared" si="4"/>
        <v>10510.88</v>
      </c>
      <c r="F20" s="6"/>
      <c r="G20" s="6"/>
      <c r="H20" s="6"/>
      <c r="I20" s="6"/>
      <c r="J20" s="6"/>
      <c r="K20" s="6"/>
      <c r="L20" s="6"/>
      <c r="M20" s="6"/>
    </row>
    <row r="21" spans="1:14" x14ac:dyDescent="0.3">
      <c r="A21" s="6"/>
      <c r="B21" s="9" t="s">
        <v>19</v>
      </c>
      <c r="C21" s="9">
        <f t="shared" si="2"/>
        <v>4296</v>
      </c>
      <c r="D21" s="9">
        <f t="shared" si="3"/>
        <v>1675.4399999999998</v>
      </c>
      <c r="E21" s="9">
        <f t="shared" si="4"/>
        <v>5971.44</v>
      </c>
      <c r="F21" s="6"/>
      <c r="G21" s="6"/>
      <c r="H21" s="6"/>
      <c r="I21" s="6"/>
      <c r="J21" s="6"/>
      <c r="K21" s="6"/>
      <c r="L21" s="6"/>
      <c r="M21" s="6"/>
    </row>
    <row r="22" spans="1:14" x14ac:dyDescent="0.3">
      <c r="A22" s="6"/>
      <c r="B22" s="9" t="s">
        <v>42</v>
      </c>
      <c r="C22" s="9">
        <f t="shared" si="2"/>
        <v>4155</v>
      </c>
      <c r="D22" s="9">
        <f t="shared" si="3"/>
        <v>3889.08</v>
      </c>
      <c r="E22" s="9">
        <f t="shared" si="4"/>
        <v>8044.08</v>
      </c>
      <c r="F22" s="6"/>
      <c r="G22" s="6"/>
      <c r="H22" s="6"/>
      <c r="I22" s="6"/>
      <c r="J22" s="6"/>
      <c r="K22" s="6"/>
      <c r="L22" s="6"/>
      <c r="M22" s="6"/>
    </row>
    <row r="23" spans="1:14" x14ac:dyDescent="0.3">
      <c r="A23" s="6"/>
      <c r="B23" s="9" t="s">
        <v>20</v>
      </c>
      <c r="C23" s="9">
        <f t="shared" si="2"/>
        <v>6648</v>
      </c>
      <c r="D23" s="9">
        <f t="shared" si="3"/>
        <v>3889.08</v>
      </c>
      <c r="E23" s="9">
        <f t="shared" si="4"/>
        <v>10537.08</v>
      </c>
      <c r="F23" s="6"/>
      <c r="G23" s="6"/>
      <c r="H23" s="6"/>
      <c r="I23" s="6"/>
      <c r="J23" s="6"/>
      <c r="K23" s="6"/>
      <c r="L23" s="6"/>
      <c r="M23" s="6"/>
    </row>
    <row r="24" spans="1:14" x14ac:dyDescent="0.3">
      <c r="A24" s="6"/>
      <c r="B24" s="9" t="s">
        <v>43</v>
      </c>
      <c r="C24" s="9">
        <f t="shared" si="2"/>
        <v>6648</v>
      </c>
      <c r="D24" s="9">
        <f t="shared" si="3"/>
        <v>1944.54</v>
      </c>
      <c r="E24" s="9">
        <f t="shared" si="4"/>
        <v>8592.5400000000009</v>
      </c>
      <c r="F24" s="6"/>
      <c r="G24" s="6"/>
      <c r="H24" s="6"/>
      <c r="I24" s="6"/>
      <c r="J24" s="6"/>
      <c r="K24" s="6"/>
      <c r="L24" s="6"/>
      <c r="M24" s="6"/>
    </row>
    <row r="25" spans="1:14" x14ac:dyDescent="0.3">
      <c r="A25" s="6"/>
      <c r="B25" s="9" t="s">
        <v>21</v>
      </c>
      <c r="C25" s="9">
        <f t="shared" si="2"/>
        <v>4296</v>
      </c>
      <c r="D25" s="9">
        <f t="shared" si="3"/>
        <v>3350.8799999999997</v>
      </c>
      <c r="E25" s="9">
        <f t="shared" si="4"/>
        <v>7646.8799999999992</v>
      </c>
      <c r="F25" s="6"/>
      <c r="G25" s="6"/>
      <c r="H25" s="6"/>
      <c r="I25" s="6"/>
      <c r="J25" s="6"/>
      <c r="K25" s="6"/>
      <c r="L25" s="6"/>
      <c r="M25" s="6"/>
    </row>
    <row r="26" spans="1:14" x14ac:dyDescent="0.3">
      <c r="A26" s="6"/>
      <c r="B26" s="11" t="s">
        <v>30</v>
      </c>
      <c r="C26" s="11"/>
      <c r="D26" s="11"/>
      <c r="E26" s="8">
        <f>SUM(E18:E25)</f>
        <v>58515.979999999996</v>
      </c>
      <c r="F26" s="6"/>
      <c r="G26" s="6"/>
      <c r="H26" s="6"/>
      <c r="I26" s="6"/>
      <c r="J26" s="6"/>
      <c r="K26" s="6"/>
      <c r="L26" s="6"/>
      <c r="M26" s="6"/>
    </row>
    <row r="27" spans="1:14" x14ac:dyDescent="0.3">
      <c r="A27" s="6"/>
      <c r="B27" s="11" t="s">
        <v>31</v>
      </c>
      <c r="C27" s="11"/>
      <c r="D27" s="11"/>
      <c r="E27" s="8">
        <f>'[1]Workshop Assignments'!D22</f>
        <v>61542.98</v>
      </c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">
      <c r="A28" s="6"/>
      <c r="B28" s="11" t="s">
        <v>32</v>
      </c>
      <c r="C28" s="11"/>
      <c r="D28" s="11"/>
      <c r="E28" s="8">
        <f>E26+E27</f>
        <v>120058.95999999999</v>
      </c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">
      <c r="A30" s="12"/>
      <c r="B30" s="7" t="s">
        <v>34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3">
      <c r="A31" s="12"/>
      <c r="B31" s="12"/>
      <c r="C31" s="13" t="s">
        <v>44</v>
      </c>
      <c r="D31" s="13"/>
      <c r="E31" s="13" t="s">
        <v>45</v>
      </c>
      <c r="F31" s="13"/>
      <c r="G31" s="13" t="s">
        <v>45</v>
      </c>
      <c r="H31" s="13" t="s">
        <v>46</v>
      </c>
      <c r="I31" s="12"/>
      <c r="J31" s="12"/>
      <c r="K31" s="12"/>
      <c r="L31" s="12"/>
      <c r="M31" s="12"/>
      <c r="N31" s="12"/>
    </row>
    <row r="32" spans="1:14" x14ac:dyDescent="0.3">
      <c r="A32" s="12"/>
      <c r="B32" s="7" t="s">
        <v>39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x14ac:dyDescent="0.3">
      <c r="A33" s="12"/>
      <c r="B33" s="14" t="s">
        <v>4</v>
      </c>
      <c r="C33" s="15">
        <f>E14</f>
        <v>1.5</v>
      </c>
      <c r="D33" s="15" t="s">
        <v>40</v>
      </c>
      <c r="E33" s="15">
        <f>E13</f>
        <v>1.5</v>
      </c>
      <c r="F33" s="15" t="s">
        <v>40</v>
      </c>
      <c r="G33" s="15">
        <f>E15</f>
        <v>2</v>
      </c>
      <c r="H33" s="15" t="str">
        <f>IF(AND(E13&gt;=E14,E13&lt;=E15),"OK","FAIL")</f>
        <v>OK</v>
      </c>
      <c r="I33" s="12"/>
      <c r="J33" s="12"/>
      <c r="K33" s="12"/>
      <c r="L33" s="12"/>
      <c r="M33" s="12"/>
      <c r="N33" s="12"/>
    </row>
    <row r="34" spans="1:14" x14ac:dyDescent="0.3">
      <c r="A34" s="12"/>
      <c r="B34" s="14" t="s">
        <v>5</v>
      </c>
      <c r="C34" s="15">
        <f>F14</f>
        <v>3</v>
      </c>
      <c r="D34" s="15" t="s">
        <v>40</v>
      </c>
      <c r="E34" s="15">
        <f>F13</f>
        <v>3</v>
      </c>
      <c r="F34" s="15" t="s">
        <v>40</v>
      </c>
      <c r="G34" s="15">
        <f>F15</f>
        <v>3</v>
      </c>
      <c r="H34" s="15" t="str">
        <f>IF(AND(F13&gt;=F14,F13&lt;=F15),"OK","FAIL")</f>
        <v>OK</v>
      </c>
      <c r="I34" s="12"/>
      <c r="J34" s="12"/>
      <c r="K34" s="12"/>
      <c r="L34" s="12"/>
      <c r="M34" s="12"/>
      <c r="N34" s="12"/>
    </row>
    <row r="35" spans="1:14" x14ac:dyDescent="0.3">
      <c r="A35" s="12"/>
      <c r="B35" s="14" t="s">
        <v>6</v>
      </c>
      <c r="C35" s="15">
        <f>G14</f>
        <v>9</v>
      </c>
      <c r="D35" s="15" t="s">
        <v>40</v>
      </c>
      <c r="E35" s="15">
        <f>G13</f>
        <v>9</v>
      </c>
      <c r="F35" s="15" t="s">
        <v>40</v>
      </c>
      <c r="G35" s="15">
        <f>G15</f>
        <v>9</v>
      </c>
      <c r="H35" s="15" t="str">
        <f>IF(AND(G13&gt;=G14,G13&lt;=G15),"OK","FAIL")</f>
        <v>OK</v>
      </c>
      <c r="I35" s="12"/>
      <c r="J35" s="12"/>
      <c r="K35" s="12"/>
      <c r="L35" s="12"/>
      <c r="M35" s="12"/>
      <c r="N35" s="12"/>
    </row>
    <row r="36" spans="1:14" x14ac:dyDescent="0.3">
      <c r="A36" s="12"/>
      <c r="B36" s="14" t="s">
        <v>7</v>
      </c>
      <c r="C36" s="15">
        <f>H14</f>
        <v>6</v>
      </c>
      <c r="D36" s="15" t="s">
        <v>40</v>
      </c>
      <c r="E36" s="15">
        <f>H13</f>
        <v>6</v>
      </c>
      <c r="F36" s="15" t="s">
        <v>40</v>
      </c>
      <c r="G36" s="15">
        <f>H15</f>
        <v>7</v>
      </c>
      <c r="H36" s="15" t="str">
        <f>IF(AND(H13&gt;=H14,H13&lt;=H15),"OK","FAIL")</f>
        <v>OK</v>
      </c>
      <c r="I36" s="12"/>
      <c r="J36" s="12"/>
      <c r="K36" s="12"/>
      <c r="L36" s="12"/>
      <c r="M36" s="12"/>
      <c r="N36" s="12"/>
    </row>
    <row r="37" spans="1:14" x14ac:dyDescent="0.3">
      <c r="A37" s="12"/>
      <c r="B37" s="14" t="s">
        <v>8</v>
      </c>
      <c r="C37" s="15">
        <f>I14</f>
        <v>0.5</v>
      </c>
      <c r="D37" s="15" t="s">
        <v>40</v>
      </c>
      <c r="E37" s="15">
        <f>I13</f>
        <v>0.5</v>
      </c>
      <c r="F37" s="15" t="s">
        <v>40</v>
      </c>
      <c r="G37" s="15">
        <f>I15</f>
        <v>1.5</v>
      </c>
      <c r="H37" s="15" t="str">
        <f>IF(AND(I13&gt;=I14,I13&lt;=I15),"OK","FAIL")</f>
        <v>OK</v>
      </c>
      <c r="I37" s="12"/>
      <c r="J37" s="12"/>
      <c r="K37" s="12"/>
      <c r="L37" s="12"/>
      <c r="M37" s="12"/>
      <c r="N37" s="12"/>
    </row>
    <row r="38" spans="1:14" x14ac:dyDescent="0.3">
      <c r="A38" s="12"/>
      <c r="B38" s="14" t="s">
        <v>9</v>
      </c>
      <c r="C38" s="15">
        <f>J14</f>
        <v>3</v>
      </c>
      <c r="D38" s="15" t="s">
        <v>40</v>
      </c>
      <c r="E38" s="15">
        <f>J13</f>
        <v>3</v>
      </c>
      <c r="F38" s="15" t="s">
        <v>40</v>
      </c>
      <c r="G38" s="15">
        <f>J15</f>
        <v>3</v>
      </c>
      <c r="H38" s="15" t="str">
        <f>IF(AND(J13&gt;=J14,J13&lt;=J15),"OK","FAIL")</f>
        <v>OK</v>
      </c>
      <c r="I38" s="12"/>
      <c r="J38" s="12"/>
      <c r="K38" s="12"/>
      <c r="L38" s="12"/>
      <c r="M38" s="12"/>
      <c r="N38" s="12"/>
    </row>
    <row r="39" spans="1:14" x14ac:dyDescent="0.3">
      <c r="A39" s="12"/>
      <c r="B39" s="14" t="s">
        <v>10</v>
      </c>
      <c r="C39" s="15">
        <f>K14</f>
        <v>0.5</v>
      </c>
      <c r="D39" s="15" t="s">
        <v>40</v>
      </c>
      <c r="E39" s="15">
        <f>K13</f>
        <v>0.5</v>
      </c>
      <c r="F39" s="15" t="s">
        <v>40</v>
      </c>
      <c r="G39" s="15">
        <f>K15</f>
        <v>1.5</v>
      </c>
      <c r="H39" s="15" t="str">
        <f>IF(AND(K13&gt;=K14,K13&lt;=K15),"OK","FAIL")</f>
        <v>OK</v>
      </c>
      <c r="I39" s="12"/>
      <c r="J39" s="12"/>
      <c r="K39" s="12"/>
      <c r="L39" s="12"/>
      <c r="M39" s="12"/>
      <c r="N39" s="12"/>
    </row>
    <row r="40" spans="1:14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3">
      <c r="A41" s="12"/>
      <c r="B41" s="7" t="s">
        <v>41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3">
      <c r="A42" s="12"/>
      <c r="B42" s="14" t="s">
        <v>14</v>
      </c>
      <c r="C42" s="15">
        <f t="shared" ref="C42:C49" si="5">M5</f>
        <v>1</v>
      </c>
      <c r="D42" s="15" t="s">
        <v>40</v>
      </c>
      <c r="E42" s="15">
        <f t="shared" ref="E42:E49" si="6">L5</f>
        <v>1</v>
      </c>
      <c r="F42" s="15" t="s">
        <v>40</v>
      </c>
      <c r="G42" s="15">
        <f t="shared" ref="G42:G49" si="7">N5</f>
        <v>2</v>
      </c>
      <c r="H42" s="15" t="str">
        <f t="shared" ref="H42:H49" si="8">IF(AND(L5&gt;=M5,L5&lt;=N5),"OK","FAIL")</f>
        <v>OK</v>
      </c>
      <c r="I42" s="12"/>
      <c r="J42" s="12"/>
      <c r="K42" s="12"/>
      <c r="L42" s="12"/>
      <c r="M42" s="12"/>
      <c r="N42" s="12"/>
    </row>
    <row r="43" spans="1:14" x14ac:dyDescent="0.3">
      <c r="A43" s="12"/>
      <c r="B43" s="14" t="s">
        <v>16</v>
      </c>
      <c r="C43" s="15">
        <f t="shared" si="5"/>
        <v>1</v>
      </c>
      <c r="D43" s="15" t="s">
        <v>40</v>
      </c>
      <c r="E43" s="15">
        <f t="shared" si="6"/>
        <v>1</v>
      </c>
      <c r="F43" s="15" t="s">
        <v>40</v>
      </c>
      <c r="G43" s="15">
        <f t="shared" si="7"/>
        <v>1</v>
      </c>
      <c r="H43" s="15" t="str">
        <f t="shared" si="8"/>
        <v>OK</v>
      </c>
      <c r="I43" s="12"/>
      <c r="J43" s="12"/>
      <c r="K43" s="12"/>
      <c r="L43" s="12"/>
      <c r="M43" s="12"/>
      <c r="N43" s="12"/>
    </row>
    <row r="44" spans="1:14" x14ac:dyDescent="0.3">
      <c r="A44" s="12"/>
      <c r="B44" s="14" t="s">
        <v>17</v>
      </c>
      <c r="C44" s="15">
        <f t="shared" si="5"/>
        <v>5</v>
      </c>
      <c r="D44" s="15" t="s">
        <v>40</v>
      </c>
      <c r="E44" s="15">
        <f t="shared" si="6"/>
        <v>5</v>
      </c>
      <c r="F44" s="15" t="s">
        <v>40</v>
      </c>
      <c r="G44" s="15">
        <f t="shared" si="7"/>
        <v>5</v>
      </c>
      <c r="H44" s="15" t="str">
        <f t="shared" si="8"/>
        <v>OK</v>
      </c>
      <c r="I44" s="12"/>
      <c r="J44" s="12"/>
      <c r="K44" s="12"/>
      <c r="L44" s="12"/>
      <c r="M44" s="12"/>
      <c r="N44" s="12"/>
    </row>
    <row r="45" spans="1:14" x14ac:dyDescent="0.3">
      <c r="A45" s="12"/>
      <c r="B45" s="14" t="s">
        <v>19</v>
      </c>
      <c r="C45" s="15">
        <f t="shared" si="5"/>
        <v>3</v>
      </c>
      <c r="D45" s="15" t="s">
        <v>40</v>
      </c>
      <c r="E45" s="15">
        <f t="shared" si="6"/>
        <v>3</v>
      </c>
      <c r="F45" s="15" t="s">
        <v>40</v>
      </c>
      <c r="G45" s="15">
        <f t="shared" si="7"/>
        <v>3</v>
      </c>
      <c r="H45" s="15" t="str">
        <f t="shared" si="8"/>
        <v>OK</v>
      </c>
      <c r="I45" s="12"/>
      <c r="J45" s="12"/>
      <c r="K45" s="12"/>
      <c r="L45" s="12"/>
      <c r="M45" s="12"/>
      <c r="N45" s="12"/>
    </row>
    <row r="46" spans="1:14" x14ac:dyDescent="0.3">
      <c r="A46" s="12"/>
      <c r="B46" s="14" t="s">
        <v>42</v>
      </c>
      <c r="C46" s="15">
        <f t="shared" si="5"/>
        <v>2</v>
      </c>
      <c r="D46" s="15" t="s">
        <v>40</v>
      </c>
      <c r="E46" s="15">
        <f t="shared" si="6"/>
        <v>2.5</v>
      </c>
      <c r="F46" s="15" t="s">
        <v>40</v>
      </c>
      <c r="G46" s="15">
        <f t="shared" si="7"/>
        <v>3</v>
      </c>
      <c r="H46" s="15" t="str">
        <f t="shared" si="8"/>
        <v>OK</v>
      </c>
      <c r="I46" s="12"/>
      <c r="J46" s="12"/>
      <c r="K46" s="12"/>
      <c r="L46" s="12"/>
      <c r="M46" s="12"/>
      <c r="N46" s="12"/>
    </row>
    <row r="47" spans="1:14" x14ac:dyDescent="0.3">
      <c r="A47" s="12"/>
      <c r="B47" s="14" t="s">
        <v>20</v>
      </c>
      <c r="C47" s="15">
        <f t="shared" si="5"/>
        <v>2</v>
      </c>
      <c r="D47" s="15" t="s">
        <v>40</v>
      </c>
      <c r="E47" s="15">
        <f t="shared" si="6"/>
        <v>4</v>
      </c>
      <c r="F47" s="15" t="s">
        <v>40</v>
      </c>
      <c r="G47" s="15">
        <f t="shared" si="7"/>
        <v>4</v>
      </c>
      <c r="H47" s="15" t="str">
        <f t="shared" si="8"/>
        <v>OK</v>
      </c>
      <c r="I47" s="12"/>
      <c r="J47" s="12"/>
      <c r="K47" s="12"/>
      <c r="L47" s="12"/>
      <c r="M47" s="12"/>
      <c r="N47" s="12"/>
    </row>
    <row r="48" spans="1:14" x14ac:dyDescent="0.3">
      <c r="A48" s="12"/>
      <c r="B48" s="14" t="s">
        <v>43</v>
      </c>
      <c r="C48" s="15">
        <f t="shared" si="5"/>
        <v>2</v>
      </c>
      <c r="D48" s="15" t="s">
        <v>40</v>
      </c>
      <c r="E48" s="15">
        <f t="shared" si="6"/>
        <v>4</v>
      </c>
      <c r="F48" s="15" t="s">
        <v>40</v>
      </c>
      <c r="G48" s="15">
        <f t="shared" si="7"/>
        <v>2</v>
      </c>
      <c r="H48" s="15" t="str">
        <f t="shared" si="8"/>
        <v>FAIL</v>
      </c>
      <c r="I48" s="12"/>
      <c r="J48" s="12"/>
      <c r="K48" s="12"/>
      <c r="L48" s="12"/>
      <c r="M48" s="12"/>
      <c r="N48" s="12"/>
    </row>
    <row r="49" spans="1:14" x14ac:dyDescent="0.3">
      <c r="A49" s="12"/>
      <c r="B49" s="14" t="s">
        <v>21</v>
      </c>
      <c r="C49" s="15">
        <f t="shared" si="5"/>
        <v>2</v>
      </c>
      <c r="D49" s="15" t="s">
        <v>40</v>
      </c>
      <c r="E49" s="15">
        <f t="shared" si="6"/>
        <v>3</v>
      </c>
      <c r="F49" s="15" t="s">
        <v>40</v>
      </c>
      <c r="G49" s="15">
        <f t="shared" si="7"/>
        <v>4</v>
      </c>
      <c r="H49" s="15" t="str">
        <f t="shared" si="8"/>
        <v>OK</v>
      </c>
      <c r="I49" s="12"/>
      <c r="J49" s="12"/>
      <c r="K49" s="12"/>
      <c r="L49" s="12"/>
      <c r="M49" s="12"/>
      <c r="N49" s="12"/>
    </row>
    <row r="50" spans="1:14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</sheetData>
  <mergeCells count="6">
    <mergeCell ref="B13:D13"/>
    <mergeCell ref="B14:D14"/>
    <mergeCell ref="B15:D15"/>
    <mergeCell ref="B26:D26"/>
    <mergeCell ref="B27:D27"/>
    <mergeCell ref="B28:D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32EF-4B28-42E6-ABE1-E1D9A70D80E6}">
  <dimension ref="A1:O51"/>
  <sheetViews>
    <sheetView topLeftCell="A4" zoomScale="97" workbookViewId="0">
      <selection activeCell="C4" sqref="C4"/>
    </sheetView>
  </sheetViews>
  <sheetFormatPr defaultRowHeight="14.4" x14ac:dyDescent="0.3"/>
  <sheetData>
    <row r="1" spans="1:15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6"/>
      <c r="B2" s="7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6"/>
      <c r="B3" s="16"/>
      <c r="C3" s="6" t="s">
        <v>49</v>
      </c>
      <c r="D3" s="1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6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6"/>
    </row>
    <row r="5" spans="1:15" x14ac:dyDescent="0.3">
      <c r="A5" s="6"/>
      <c r="B5" s="9" t="s">
        <v>14</v>
      </c>
      <c r="C5" s="9" t="s">
        <v>15</v>
      </c>
      <c r="D5" s="9">
        <v>1662</v>
      </c>
      <c r="E5" s="10">
        <v>1.5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9">
        <f t="shared" ref="L5:L12" si="0">SUM(E5:K5)</f>
        <v>1.5</v>
      </c>
      <c r="M5" s="9">
        <v>1</v>
      </c>
      <c r="N5" s="9">
        <v>2</v>
      </c>
      <c r="O5" s="6"/>
    </row>
    <row r="6" spans="1:15" x14ac:dyDescent="0.3">
      <c r="A6" s="6"/>
      <c r="B6" s="9" t="s">
        <v>16</v>
      </c>
      <c r="C6" s="9" t="s">
        <v>15</v>
      </c>
      <c r="D6" s="9">
        <v>1662</v>
      </c>
      <c r="E6" s="10">
        <v>0</v>
      </c>
      <c r="F6" s="10">
        <v>0</v>
      </c>
      <c r="G6" s="10">
        <v>0</v>
      </c>
      <c r="H6" s="10">
        <v>0</v>
      </c>
      <c r="I6" s="10">
        <v>0.5</v>
      </c>
      <c r="J6" s="10">
        <v>0</v>
      </c>
      <c r="K6" s="10">
        <v>0.5</v>
      </c>
      <c r="L6" s="9">
        <f t="shared" si="0"/>
        <v>1</v>
      </c>
      <c r="M6" s="9">
        <v>1</v>
      </c>
      <c r="N6" s="9">
        <v>1</v>
      </c>
      <c r="O6" s="6"/>
    </row>
    <row r="7" spans="1:15" x14ac:dyDescent="0.3">
      <c r="A7" s="6"/>
      <c r="B7" s="9" t="s">
        <v>17</v>
      </c>
      <c r="C7" s="9" t="s">
        <v>18</v>
      </c>
      <c r="D7" s="9">
        <v>1432</v>
      </c>
      <c r="E7" s="10">
        <v>0</v>
      </c>
      <c r="F7" s="10">
        <v>0</v>
      </c>
      <c r="G7" s="10">
        <v>5</v>
      </c>
      <c r="H7" s="10">
        <v>0</v>
      </c>
      <c r="I7" s="10">
        <v>0</v>
      </c>
      <c r="J7" s="10">
        <v>0</v>
      </c>
      <c r="K7" s="10">
        <v>0</v>
      </c>
      <c r="L7" s="9">
        <f t="shared" si="0"/>
        <v>5</v>
      </c>
      <c r="M7" s="9">
        <v>5</v>
      </c>
      <c r="N7" s="9">
        <v>5</v>
      </c>
      <c r="O7" s="6"/>
    </row>
    <row r="8" spans="1:15" x14ac:dyDescent="0.3">
      <c r="A8" s="6"/>
      <c r="B8" s="9" t="s">
        <v>19</v>
      </c>
      <c r="C8" s="9" t="s">
        <v>18</v>
      </c>
      <c r="D8" s="9">
        <v>1432</v>
      </c>
      <c r="E8" s="10">
        <v>0</v>
      </c>
      <c r="F8" s="10">
        <v>2</v>
      </c>
      <c r="G8" s="10">
        <v>0</v>
      </c>
      <c r="H8" s="10">
        <v>1</v>
      </c>
      <c r="I8" s="10">
        <v>0</v>
      </c>
      <c r="J8" s="10">
        <v>0</v>
      </c>
      <c r="K8" s="10">
        <v>0</v>
      </c>
      <c r="L8" s="9">
        <f t="shared" si="0"/>
        <v>3</v>
      </c>
      <c r="M8" s="9">
        <v>3</v>
      </c>
      <c r="N8" s="9">
        <v>3</v>
      </c>
      <c r="O8" s="6"/>
    </row>
    <row r="9" spans="1:15" x14ac:dyDescent="0.3">
      <c r="A9" s="6"/>
      <c r="B9" s="9" t="s">
        <v>42</v>
      </c>
      <c r="C9" s="9" t="s">
        <v>15</v>
      </c>
      <c r="D9" s="9">
        <v>1662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3</v>
      </c>
      <c r="K9" s="10">
        <v>0</v>
      </c>
      <c r="L9" s="9">
        <f t="shared" si="0"/>
        <v>3</v>
      </c>
      <c r="M9" s="9">
        <v>2</v>
      </c>
      <c r="N9" s="9">
        <v>3</v>
      </c>
      <c r="O9" s="6"/>
    </row>
    <row r="10" spans="1:15" x14ac:dyDescent="0.3">
      <c r="A10" s="6"/>
      <c r="B10" s="9" t="s">
        <v>20</v>
      </c>
      <c r="C10" s="9" t="s">
        <v>15</v>
      </c>
      <c r="D10" s="9">
        <v>1662</v>
      </c>
      <c r="E10" s="10">
        <v>0</v>
      </c>
      <c r="F10" s="10">
        <v>0</v>
      </c>
      <c r="G10" s="10">
        <v>0</v>
      </c>
      <c r="H10" s="10">
        <v>4</v>
      </c>
      <c r="I10" s="10">
        <v>0</v>
      </c>
      <c r="J10" s="10">
        <v>0</v>
      </c>
      <c r="K10" s="10">
        <v>0</v>
      </c>
      <c r="L10" s="9">
        <f t="shared" si="0"/>
        <v>4</v>
      </c>
      <c r="M10" s="9">
        <v>2</v>
      </c>
      <c r="N10" s="9">
        <v>4</v>
      </c>
      <c r="O10" s="6"/>
    </row>
    <row r="11" spans="1:15" x14ac:dyDescent="0.3">
      <c r="A11" s="6"/>
      <c r="B11" s="9" t="s">
        <v>43</v>
      </c>
      <c r="C11" s="9" t="s">
        <v>15</v>
      </c>
      <c r="D11" s="9">
        <v>1662</v>
      </c>
      <c r="E11" s="10">
        <v>0</v>
      </c>
      <c r="F11" s="10">
        <v>0</v>
      </c>
      <c r="G11" s="10">
        <v>1</v>
      </c>
      <c r="H11" s="10">
        <v>1</v>
      </c>
      <c r="I11" s="10">
        <v>0</v>
      </c>
      <c r="J11" s="10">
        <v>0</v>
      </c>
      <c r="K11" s="10">
        <v>0</v>
      </c>
      <c r="L11" s="9">
        <f t="shared" si="0"/>
        <v>2</v>
      </c>
      <c r="M11" s="9">
        <v>2</v>
      </c>
      <c r="N11" s="9">
        <v>2</v>
      </c>
      <c r="O11" s="6"/>
    </row>
    <row r="12" spans="1:15" x14ac:dyDescent="0.3">
      <c r="A12" s="6"/>
      <c r="B12" s="9" t="s">
        <v>21</v>
      </c>
      <c r="C12" s="9" t="s">
        <v>18</v>
      </c>
      <c r="D12" s="9">
        <v>1432</v>
      </c>
      <c r="E12" s="10">
        <v>0</v>
      </c>
      <c r="F12" s="10">
        <v>1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9">
        <f t="shared" si="0"/>
        <v>4</v>
      </c>
      <c r="M12" s="9">
        <v>2</v>
      </c>
      <c r="N12" s="9">
        <v>4</v>
      </c>
      <c r="O12" s="6"/>
    </row>
    <row r="13" spans="1:15" x14ac:dyDescent="0.3">
      <c r="A13" s="6"/>
      <c r="B13" s="11" t="s">
        <v>24</v>
      </c>
      <c r="C13" s="11"/>
      <c r="D13" s="11"/>
      <c r="E13" s="8">
        <f>SUM(E5:E12)</f>
        <v>1.5</v>
      </c>
      <c r="F13" s="8">
        <f t="shared" ref="E13:K13" si="1">SUM(F5:F12)</f>
        <v>3</v>
      </c>
      <c r="G13" s="8">
        <f t="shared" si="1"/>
        <v>9</v>
      </c>
      <c r="H13" s="8">
        <f t="shared" si="1"/>
        <v>6</v>
      </c>
      <c r="I13" s="8">
        <f t="shared" si="1"/>
        <v>0.5</v>
      </c>
      <c r="J13" s="8">
        <f t="shared" si="1"/>
        <v>3</v>
      </c>
      <c r="K13" s="8">
        <f t="shared" si="1"/>
        <v>0.5</v>
      </c>
      <c r="L13" s="6"/>
      <c r="M13" s="6"/>
      <c r="N13" s="6"/>
      <c r="O13" s="6"/>
    </row>
    <row r="14" spans="1:15" x14ac:dyDescent="0.3">
      <c r="A14" s="6"/>
      <c r="B14" s="11" t="s">
        <v>25</v>
      </c>
      <c r="C14" s="11"/>
      <c r="D14" s="11"/>
      <c r="E14" s="9">
        <v>1.5</v>
      </c>
      <c r="F14" s="9">
        <v>3</v>
      </c>
      <c r="G14" s="9">
        <v>9</v>
      </c>
      <c r="H14" s="9">
        <v>6</v>
      </c>
      <c r="I14" s="9">
        <v>0.5</v>
      </c>
      <c r="J14" s="9">
        <v>3</v>
      </c>
      <c r="K14" s="9">
        <v>0.5</v>
      </c>
      <c r="L14" s="6"/>
      <c r="M14" s="6"/>
      <c r="N14" s="6"/>
      <c r="O14" s="6"/>
    </row>
    <row r="15" spans="1:15" x14ac:dyDescent="0.3">
      <c r="A15" s="6"/>
      <c r="B15" s="11" t="s">
        <v>26</v>
      </c>
      <c r="C15" s="11"/>
      <c r="D15" s="11"/>
      <c r="E15" s="9">
        <v>2</v>
      </c>
      <c r="F15" s="9">
        <v>3</v>
      </c>
      <c r="G15" s="9">
        <v>9</v>
      </c>
      <c r="H15" s="9">
        <v>7</v>
      </c>
      <c r="I15" s="9">
        <v>1.5</v>
      </c>
      <c r="J15" s="9">
        <v>3</v>
      </c>
      <c r="K15" s="9">
        <v>1.5</v>
      </c>
      <c r="L15" s="6"/>
      <c r="M15" s="6"/>
      <c r="N15" s="6"/>
      <c r="O15" s="6"/>
    </row>
    <row r="16" spans="1:15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3">
      <c r="A17" s="6"/>
      <c r="B17" s="8" t="s">
        <v>1</v>
      </c>
      <c r="C17" s="8" t="s">
        <v>27</v>
      </c>
      <c r="D17" s="8" t="s">
        <v>28</v>
      </c>
      <c r="E17" s="8" t="s">
        <v>29</v>
      </c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3">
      <c r="A18" s="6"/>
      <c r="B18" s="9" t="s">
        <v>14</v>
      </c>
      <c r="C18" s="9">
        <f t="shared" ref="C18:C25" si="2">D5*L5</f>
        <v>2493</v>
      </c>
      <c r="D18" s="9">
        <f t="shared" ref="D18:D25" si="3">D5*(IF(E5&gt;0,1.17,0)+IF(F5&gt;0,1.17,0)+IF(G5&gt;0,1.17,0)+IF(H5&gt;0,1.17,0)+IF(I5&gt;0,0,0)+IF(J5&gt;0,1.17,0)+IF(K5&gt;0,0,0))</f>
        <v>1944.54</v>
      </c>
      <c r="E18" s="9">
        <f t="shared" ref="E18:E25" si="4">C18+D18</f>
        <v>4437.54</v>
      </c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3">
      <c r="A19" s="6"/>
      <c r="B19" s="9" t="s">
        <v>16</v>
      </c>
      <c r="C19" s="9">
        <f t="shared" si="2"/>
        <v>1662</v>
      </c>
      <c r="D19" s="9">
        <f t="shared" si="3"/>
        <v>0</v>
      </c>
      <c r="E19" s="9">
        <f t="shared" si="4"/>
        <v>1662</v>
      </c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3">
      <c r="A20" s="6"/>
      <c r="B20" s="9" t="s">
        <v>17</v>
      </c>
      <c r="C20" s="9">
        <f t="shared" si="2"/>
        <v>7160</v>
      </c>
      <c r="D20" s="9">
        <f t="shared" si="3"/>
        <v>1675.4399999999998</v>
      </c>
      <c r="E20" s="9">
        <f t="shared" si="4"/>
        <v>8835.44</v>
      </c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3">
      <c r="A21" s="6"/>
      <c r="B21" s="9" t="s">
        <v>19</v>
      </c>
      <c r="C21" s="9">
        <f t="shared" si="2"/>
        <v>4296</v>
      </c>
      <c r="D21" s="9">
        <f t="shared" si="3"/>
        <v>3350.8799999999997</v>
      </c>
      <c r="E21" s="9">
        <f t="shared" si="4"/>
        <v>7646.8799999999992</v>
      </c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3">
      <c r="A22" s="6"/>
      <c r="B22" s="9" t="s">
        <v>42</v>
      </c>
      <c r="C22" s="9">
        <f t="shared" si="2"/>
        <v>4986</v>
      </c>
      <c r="D22" s="9">
        <f t="shared" si="3"/>
        <v>1944.54</v>
      </c>
      <c r="E22" s="9">
        <f t="shared" si="4"/>
        <v>6930.54</v>
      </c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3">
      <c r="A23" s="6"/>
      <c r="B23" s="9" t="s">
        <v>20</v>
      </c>
      <c r="C23" s="9">
        <f t="shared" si="2"/>
        <v>6648</v>
      </c>
      <c r="D23" s="9">
        <f t="shared" si="3"/>
        <v>1944.54</v>
      </c>
      <c r="E23" s="9">
        <f t="shared" si="4"/>
        <v>8592.5400000000009</v>
      </c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3">
      <c r="A24" s="6"/>
      <c r="B24" s="9" t="s">
        <v>43</v>
      </c>
      <c r="C24" s="9">
        <f t="shared" si="2"/>
        <v>3324</v>
      </c>
      <c r="D24" s="9">
        <f t="shared" si="3"/>
        <v>3889.08</v>
      </c>
      <c r="E24" s="9">
        <f t="shared" si="4"/>
        <v>7213.08</v>
      </c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">
      <c r="A25" s="6"/>
      <c r="B25" s="9" t="s">
        <v>21</v>
      </c>
      <c r="C25" s="9">
        <f t="shared" si="2"/>
        <v>5728</v>
      </c>
      <c r="D25" s="9">
        <f t="shared" si="3"/>
        <v>3350.8799999999997</v>
      </c>
      <c r="E25" s="9">
        <f t="shared" si="4"/>
        <v>9078.8799999999992</v>
      </c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3">
      <c r="A26" s="6"/>
      <c r="B26" s="11" t="s">
        <v>30</v>
      </c>
      <c r="C26" s="11"/>
      <c r="D26" s="11"/>
      <c r="E26" s="8">
        <f>SUM(E18:E25)</f>
        <v>54396.9</v>
      </c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3">
      <c r="A27" s="6"/>
      <c r="B27" s="11" t="s">
        <v>31</v>
      </c>
      <c r="C27" s="11"/>
      <c r="D27" s="11"/>
      <c r="E27" s="8">
        <f>'[1]Workshop Assignments'!D22</f>
        <v>61542.98</v>
      </c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3">
      <c r="A28" s="6"/>
      <c r="B28" s="11" t="s">
        <v>32</v>
      </c>
      <c r="C28" s="11"/>
      <c r="D28" s="11"/>
      <c r="E28" s="8">
        <f>E26+E27</f>
        <v>115939.88</v>
      </c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3">
      <c r="A30" s="12"/>
      <c r="B30" s="7" t="s">
        <v>34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x14ac:dyDescent="0.3">
      <c r="A31" s="12"/>
      <c r="B31" s="12"/>
      <c r="C31" s="13" t="s">
        <v>44</v>
      </c>
      <c r="D31" s="13"/>
      <c r="E31" s="13" t="s">
        <v>45</v>
      </c>
      <c r="F31" s="13"/>
      <c r="G31" s="13" t="s">
        <v>45</v>
      </c>
      <c r="H31" s="13" t="s">
        <v>46</v>
      </c>
      <c r="I31" s="12"/>
      <c r="J31" s="12"/>
      <c r="K31" s="12"/>
      <c r="L31" s="12"/>
      <c r="M31" s="12"/>
      <c r="N31" s="12"/>
      <c r="O31" s="12"/>
    </row>
    <row r="32" spans="1:15" x14ac:dyDescent="0.3">
      <c r="A32" s="12"/>
      <c r="B32" s="7" t="s">
        <v>39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A33" s="12"/>
      <c r="B33" s="14" t="s">
        <v>4</v>
      </c>
      <c r="C33" s="15">
        <f>E14</f>
        <v>1.5</v>
      </c>
      <c r="D33" s="15" t="s">
        <v>40</v>
      </c>
      <c r="E33" s="15">
        <f>E13</f>
        <v>1.5</v>
      </c>
      <c r="F33" s="15" t="s">
        <v>40</v>
      </c>
      <c r="G33" s="15">
        <f>E15</f>
        <v>2</v>
      </c>
      <c r="H33" s="15" t="str">
        <f>IF(AND(E13&gt;=E14,E13&lt;=E15),"OK","FAIL")</f>
        <v>OK</v>
      </c>
      <c r="I33" s="12"/>
      <c r="J33" s="12"/>
      <c r="K33" s="12"/>
      <c r="L33" s="12"/>
      <c r="M33" s="12"/>
      <c r="N33" s="12"/>
      <c r="O33" s="12"/>
    </row>
    <row r="34" spans="1:15" x14ac:dyDescent="0.3">
      <c r="A34" s="12"/>
      <c r="B34" s="14" t="s">
        <v>5</v>
      </c>
      <c r="C34" s="15">
        <f>F14</f>
        <v>3</v>
      </c>
      <c r="D34" s="15" t="s">
        <v>40</v>
      </c>
      <c r="E34" s="15">
        <f>F13</f>
        <v>3</v>
      </c>
      <c r="F34" s="15" t="s">
        <v>40</v>
      </c>
      <c r="G34" s="15">
        <f>F15</f>
        <v>3</v>
      </c>
      <c r="H34" s="15" t="str">
        <f>IF(AND(F13&gt;=F14,F13&lt;=F15),"OK","FAIL")</f>
        <v>OK</v>
      </c>
      <c r="I34" s="12"/>
      <c r="J34" s="12"/>
      <c r="K34" s="12"/>
      <c r="L34" s="12"/>
      <c r="M34" s="12"/>
      <c r="N34" s="12"/>
      <c r="O34" s="12"/>
    </row>
    <row r="35" spans="1:15" x14ac:dyDescent="0.3">
      <c r="A35" s="12"/>
      <c r="B35" s="14" t="s">
        <v>6</v>
      </c>
      <c r="C35" s="15">
        <f>G14</f>
        <v>9</v>
      </c>
      <c r="D35" s="15" t="s">
        <v>40</v>
      </c>
      <c r="E35" s="15">
        <f>G13</f>
        <v>9</v>
      </c>
      <c r="F35" s="15" t="s">
        <v>40</v>
      </c>
      <c r="G35" s="15">
        <f>G15</f>
        <v>9</v>
      </c>
      <c r="H35" s="15" t="str">
        <f>IF(AND(G13&gt;=G14,G13&lt;=G15),"OK","FAIL")</f>
        <v>OK</v>
      </c>
      <c r="I35" s="12"/>
      <c r="J35" s="12"/>
      <c r="K35" s="12"/>
      <c r="L35" s="12"/>
      <c r="M35" s="12"/>
      <c r="N35" s="12"/>
      <c r="O35" s="12"/>
    </row>
    <row r="36" spans="1:15" x14ac:dyDescent="0.3">
      <c r="A36" s="12"/>
      <c r="B36" s="14" t="s">
        <v>7</v>
      </c>
      <c r="C36" s="15">
        <f>H14</f>
        <v>6</v>
      </c>
      <c r="D36" s="15" t="s">
        <v>40</v>
      </c>
      <c r="E36" s="15">
        <f>H13</f>
        <v>6</v>
      </c>
      <c r="F36" s="15" t="s">
        <v>40</v>
      </c>
      <c r="G36" s="15">
        <f>H15</f>
        <v>7</v>
      </c>
      <c r="H36" s="15" t="str">
        <f>IF(AND(H13&gt;=H14,H13&lt;=H15),"OK","FAIL")</f>
        <v>OK</v>
      </c>
      <c r="I36" s="12"/>
      <c r="J36" s="12"/>
      <c r="K36" s="12"/>
      <c r="L36" s="12"/>
      <c r="M36" s="12"/>
      <c r="N36" s="12"/>
      <c r="O36" s="12"/>
    </row>
    <row r="37" spans="1:15" x14ac:dyDescent="0.3">
      <c r="A37" s="12"/>
      <c r="B37" s="14" t="s">
        <v>8</v>
      </c>
      <c r="C37" s="15">
        <f>I14</f>
        <v>0.5</v>
      </c>
      <c r="D37" s="15" t="s">
        <v>40</v>
      </c>
      <c r="E37" s="15">
        <f>I13</f>
        <v>0.5</v>
      </c>
      <c r="F37" s="15" t="s">
        <v>40</v>
      </c>
      <c r="G37" s="15">
        <f>I15</f>
        <v>1.5</v>
      </c>
      <c r="H37" s="15" t="str">
        <f>IF(AND(I13&gt;=I14,I13&lt;=I15),"OK","FAIL")</f>
        <v>OK</v>
      </c>
      <c r="I37" s="12"/>
      <c r="J37" s="12"/>
      <c r="K37" s="12"/>
      <c r="L37" s="12"/>
      <c r="M37" s="12"/>
      <c r="N37" s="12"/>
      <c r="O37" s="12"/>
    </row>
    <row r="38" spans="1:15" x14ac:dyDescent="0.3">
      <c r="A38" s="12"/>
      <c r="B38" s="14" t="s">
        <v>9</v>
      </c>
      <c r="C38" s="15">
        <f>J14</f>
        <v>3</v>
      </c>
      <c r="D38" s="15" t="s">
        <v>40</v>
      </c>
      <c r="E38" s="15">
        <f>J13</f>
        <v>3</v>
      </c>
      <c r="F38" s="15" t="s">
        <v>40</v>
      </c>
      <c r="G38" s="15">
        <f>J15</f>
        <v>3</v>
      </c>
      <c r="H38" s="15" t="str">
        <f>IF(AND(J13&gt;=J14,J13&lt;=J15),"OK","FAIL")</f>
        <v>OK</v>
      </c>
      <c r="I38" s="12"/>
      <c r="J38" s="12"/>
      <c r="K38" s="12"/>
      <c r="L38" s="12"/>
      <c r="M38" s="12"/>
      <c r="N38" s="12"/>
      <c r="O38" s="12"/>
    </row>
    <row r="39" spans="1:15" x14ac:dyDescent="0.3">
      <c r="A39" s="12"/>
      <c r="B39" s="14" t="s">
        <v>10</v>
      </c>
      <c r="C39" s="15">
        <f>K14</f>
        <v>0.5</v>
      </c>
      <c r="D39" s="15" t="s">
        <v>40</v>
      </c>
      <c r="E39" s="15">
        <f>K13</f>
        <v>0.5</v>
      </c>
      <c r="F39" s="15" t="s">
        <v>40</v>
      </c>
      <c r="G39" s="15">
        <f>K15</f>
        <v>1.5</v>
      </c>
      <c r="H39" s="15" t="str">
        <f>IF(AND(K13&gt;=K14,K13&lt;=K15),"OK","FAIL")</f>
        <v>OK</v>
      </c>
      <c r="I39" s="12"/>
      <c r="J39" s="12"/>
      <c r="K39" s="12"/>
      <c r="L39" s="12"/>
      <c r="M39" s="12"/>
      <c r="N39" s="12"/>
      <c r="O39" s="12"/>
    </row>
    <row r="40" spans="1:15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3">
      <c r="A41" s="12"/>
      <c r="B41" s="7" t="s">
        <v>41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3">
      <c r="A42" s="12"/>
      <c r="B42" s="14" t="s">
        <v>14</v>
      </c>
      <c r="C42" s="15">
        <f t="shared" ref="C42:C49" si="5">M5</f>
        <v>1</v>
      </c>
      <c r="D42" s="15" t="s">
        <v>40</v>
      </c>
      <c r="E42" s="15">
        <f t="shared" ref="E42:E49" si="6">L5</f>
        <v>1.5</v>
      </c>
      <c r="F42" s="15" t="s">
        <v>40</v>
      </c>
      <c r="G42" s="15">
        <f t="shared" ref="G42:G49" si="7">N5</f>
        <v>2</v>
      </c>
      <c r="H42" s="15" t="str">
        <f t="shared" ref="H42:H49" si="8">IF(AND(L5&gt;=M5,L5&lt;=N5),"OK","FAIL")</f>
        <v>OK</v>
      </c>
      <c r="I42" s="12"/>
      <c r="J42" s="12"/>
      <c r="K42" s="12"/>
      <c r="L42" s="12"/>
      <c r="M42" s="12"/>
      <c r="N42" s="12"/>
      <c r="O42" s="12"/>
    </row>
    <row r="43" spans="1:15" x14ac:dyDescent="0.3">
      <c r="A43" s="12"/>
      <c r="B43" s="14" t="s">
        <v>16</v>
      </c>
      <c r="C43" s="15">
        <f t="shared" si="5"/>
        <v>1</v>
      </c>
      <c r="D43" s="15" t="s">
        <v>40</v>
      </c>
      <c r="E43" s="15">
        <f t="shared" si="6"/>
        <v>1</v>
      </c>
      <c r="F43" s="15" t="s">
        <v>40</v>
      </c>
      <c r="G43" s="15">
        <f t="shared" si="7"/>
        <v>1</v>
      </c>
      <c r="H43" s="15" t="str">
        <f t="shared" si="8"/>
        <v>OK</v>
      </c>
      <c r="I43" s="12"/>
      <c r="J43" s="12"/>
      <c r="K43" s="12"/>
      <c r="L43" s="12"/>
      <c r="M43" s="12"/>
      <c r="N43" s="12"/>
      <c r="O43" s="12"/>
    </row>
    <row r="44" spans="1:15" x14ac:dyDescent="0.3">
      <c r="A44" s="12"/>
      <c r="B44" s="14" t="s">
        <v>17</v>
      </c>
      <c r="C44" s="15">
        <f t="shared" si="5"/>
        <v>5</v>
      </c>
      <c r="D44" s="15" t="s">
        <v>40</v>
      </c>
      <c r="E44" s="15">
        <f t="shared" si="6"/>
        <v>5</v>
      </c>
      <c r="F44" s="15" t="s">
        <v>40</v>
      </c>
      <c r="G44" s="15">
        <f t="shared" si="7"/>
        <v>5</v>
      </c>
      <c r="H44" s="15" t="str">
        <f t="shared" si="8"/>
        <v>OK</v>
      </c>
      <c r="I44" s="12"/>
      <c r="J44" s="12"/>
      <c r="K44" s="12"/>
      <c r="L44" s="12"/>
      <c r="M44" s="12"/>
      <c r="N44" s="12"/>
      <c r="O44" s="12"/>
    </row>
    <row r="45" spans="1:15" x14ac:dyDescent="0.3">
      <c r="A45" s="12"/>
      <c r="B45" s="14" t="s">
        <v>19</v>
      </c>
      <c r="C45" s="15">
        <f t="shared" si="5"/>
        <v>3</v>
      </c>
      <c r="D45" s="15" t="s">
        <v>40</v>
      </c>
      <c r="E45" s="15">
        <f t="shared" si="6"/>
        <v>3</v>
      </c>
      <c r="F45" s="15" t="s">
        <v>40</v>
      </c>
      <c r="G45" s="15">
        <f t="shared" si="7"/>
        <v>3</v>
      </c>
      <c r="H45" s="15" t="str">
        <f t="shared" si="8"/>
        <v>OK</v>
      </c>
      <c r="I45" s="12"/>
      <c r="J45" s="12"/>
      <c r="K45" s="12"/>
      <c r="L45" s="12"/>
      <c r="M45" s="12"/>
      <c r="N45" s="12"/>
      <c r="O45" s="12"/>
    </row>
    <row r="46" spans="1:15" x14ac:dyDescent="0.3">
      <c r="A46" s="12"/>
      <c r="B46" s="14" t="s">
        <v>42</v>
      </c>
      <c r="C46" s="15">
        <f t="shared" si="5"/>
        <v>2</v>
      </c>
      <c r="D46" s="15" t="s">
        <v>40</v>
      </c>
      <c r="E46" s="15">
        <f t="shared" si="6"/>
        <v>3</v>
      </c>
      <c r="F46" s="15" t="s">
        <v>40</v>
      </c>
      <c r="G46" s="15">
        <f t="shared" si="7"/>
        <v>3</v>
      </c>
      <c r="H46" s="15" t="str">
        <f t="shared" si="8"/>
        <v>OK</v>
      </c>
      <c r="I46" s="12"/>
      <c r="J46" s="12"/>
      <c r="K46" s="12"/>
      <c r="L46" s="12"/>
      <c r="M46" s="12"/>
      <c r="N46" s="12"/>
      <c r="O46" s="12"/>
    </row>
    <row r="47" spans="1:15" x14ac:dyDescent="0.3">
      <c r="A47" s="12"/>
      <c r="B47" s="14" t="s">
        <v>20</v>
      </c>
      <c r="C47" s="15">
        <f t="shared" si="5"/>
        <v>2</v>
      </c>
      <c r="D47" s="15" t="s">
        <v>40</v>
      </c>
      <c r="E47" s="15">
        <f t="shared" si="6"/>
        <v>4</v>
      </c>
      <c r="F47" s="15" t="s">
        <v>40</v>
      </c>
      <c r="G47" s="15">
        <f t="shared" si="7"/>
        <v>4</v>
      </c>
      <c r="H47" s="15" t="str">
        <f t="shared" si="8"/>
        <v>OK</v>
      </c>
      <c r="I47" s="12"/>
      <c r="J47" s="12"/>
      <c r="K47" s="12"/>
      <c r="L47" s="12"/>
      <c r="M47" s="12"/>
      <c r="N47" s="12"/>
      <c r="O47" s="12"/>
    </row>
    <row r="48" spans="1:15" x14ac:dyDescent="0.3">
      <c r="A48" s="12"/>
      <c r="B48" s="14" t="s">
        <v>43</v>
      </c>
      <c r="C48" s="15">
        <f t="shared" si="5"/>
        <v>2</v>
      </c>
      <c r="D48" s="15" t="s">
        <v>40</v>
      </c>
      <c r="E48" s="15">
        <f t="shared" si="6"/>
        <v>2</v>
      </c>
      <c r="F48" s="15" t="s">
        <v>40</v>
      </c>
      <c r="G48" s="15">
        <f t="shared" si="7"/>
        <v>2</v>
      </c>
      <c r="H48" s="15" t="str">
        <f t="shared" si="8"/>
        <v>OK</v>
      </c>
      <c r="I48" s="12"/>
      <c r="J48" s="12"/>
      <c r="K48" s="12"/>
      <c r="L48" s="12"/>
      <c r="M48" s="12"/>
      <c r="N48" s="12"/>
      <c r="O48" s="12"/>
    </row>
    <row r="49" spans="1:15" x14ac:dyDescent="0.3">
      <c r="A49" s="12"/>
      <c r="B49" s="14" t="s">
        <v>21</v>
      </c>
      <c r="C49" s="15">
        <f t="shared" si="5"/>
        <v>2</v>
      </c>
      <c r="D49" s="15" t="s">
        <v>40</v>
      </c>
      <c r="E49" s="15">
        <f t="shared" si="6"/>
        <v>4</v>
      </c>
      <c r="F49" s="15" t="s">
        <v>40</v>
      </c>
      <c r="G49" s="15">
        <f t="shared" si="7"/>
        <v>4</v>
      </c>
      <c r="H49" s="15" t="str">
        <f t="shared" si="8"/>
        <v>OK</v>
      </c>
      <c r="I49" s="12"/>
      <c r="J49" s="12"/>
      <c r="K49" s="12"/>
      <c r="L49" s="12"/>
      <c r="M49" s="12"/>
      <c r="N49" s="12"/>
      <c r="O49" s="12"/>
    </row>
    <row r="50" spans="1:15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</sheetData>
  <mergeCells count="6">
    <mergeCell ref="B13:D13"/>
    <mergeCell ref="B14:D14"/>
    <mergeCell ref="B15:D15"/>
    <mergeCell ref="B26:D26"/>
    <mergeCell ref="B27:D27"/>
    <mergeCell ref="B28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91D0-9BEC-4DE4-90F9-04420AEBA89E}">
  <dimension ref="A1:O51"/>
  <sheetViews>
    <sheetView tabSelected="1" zoomScale="75" workbookViewId="0">
      <selection activeCell="G4" sqref="G4"/>
    </sheetView>
  </sheetViews>
  <sheetFormatPr defaultRowHeight="14.4" x14ac:dyDescent="0.3"/>
  <sheetData>
    <row r="1" spans="1:15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6"/>
      <c r="B2" s="7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6"/>
      <c r="B3" s="16"/>
      <c r="C3" s="6"/>
      <c r="D3" s="16"/>
      <c r="E3" s="6"/>
      <c r="F3" s="6"/>
      <c r="G3" s="6" t="s">
        <v>50</v>
      </c>
      <c r="H3" s="6"/>
      <c r="I3" s="6"/>
      <c r="J3" s="6"/>
      <c r="K3" s="6"/>
      <c r="L3" s="6"/>
      <c r="M3" s="6"/>
      <c r="N3" s="6"/>
      <c r="O3" s="6"/>
    </row>
    <row r="4" spans="1:15" x14ac:dyDescent="0.3">
      <c r="A4" s="6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6"/>
    </row>
    <row r="5" spans="1:15" x14ac:dyDescent="0.3">
      <c r="A5" s="6"/>
      <c r="B5" s="9" t="s">
        <v>14</v>
      </c>
      <c r="C5" s="9" t="s">
        <v>15</v>
      </c>
      <c r="D5" s="9">
        <v>1662</v>
      </c>
      <c r="E5" s="10">
        <v>1.5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9">
        <f t="shared" ref="L5:L12" si="0">SUM(E5:K5)</f>
        <v>1.5</v>
      </c>
      <c r="M5" s="9">
        <v>1</v>
      </c>
      <c r="N5" s="9">
        <v>2</v>
      </c>
      <c r="O5" s="6"/>
    </row>
    <row r="6" spans="1:15" x14ac:dyDescent="0.3">
      <c r="A6" s="6"/>
      <c r="B6" s="9" t="s">
        <v>16</v>
      </c>
      <c r="C6" s="9" t="s">
        <v>15</v>
      </c>
      <c r="D6" s="9">
        <v>1662</v>
      </c>
      <c r="E6" s="10">
        <v>0</v>
      </c>
      <c r="F6" s="10">
        <v>0</v>
      </c>
      <c r="G6" s="10">
        <v>0</v>
      </c>
      <c r="H6" s="10">
        <v>0</v>
      </c>
      <c r="I6" s="10">
        <v>0.49999900000000008</v>
      </c>
      <c r="J6" s="10">
        <v>0</v>
      </c>
      <c r="K6" s="10">
        <v>0.49999900000000008</v>
      </c>
      <c r="L6" s="9">
        <f t="shared" si="0"/>
        <v>0.99999800000000016</v>
      </c>
      <c r="M6" s="9">
        <v>1</v>
      </c>
      <c r="N6" s="9">
        <v>1</v>
      </c>
      <c r="O6" s="6"/>
    </row>
    <row r="7" spans="1:15" x14ac:dyDescent="0.3">
      <c r="A7" s="6"/>
      <c r="B7" s="9" t="s">
        <v>17</v>
      </c>
      <c r="C7" s="9" t="s">
        <v>18</v>
      </c>
      <c r="D7" s="9">
        <v>1432</v>
      </c>
      <c r="E7" s="10">
        <v>0</v>
      </c>
      <c r="F7" s="10">
        <v>0</v>
      </c>
      <c r="G7" s="10">
        <v>5</v>
      </c>
      <c r="H7" s="10">
        <v>0</v>
      </c>
      <c r="I7" s="10">
        <v>0</v>
      </c>
      <c r="J7" s="10">
        <v>0</v>
      </c>
      <c r="K7" s="10">
        <v>0</v>
      </c>
      <c r="L7" s="9">
        <f t="shared" si="0"/>
        <v>5</v>
      </c>
      <c r="M7" s="9">
        <v>5</v>
      </c>
      <c r="N7" s="9">
        <v>5</v>
      </c>
      <c r="O7" s="6"/>
    </row>
    <row r="8" spans="1:15" x14ac:dyDescent="0.3">
      <c r="A8" s="6"/>
      <c r="B8" s="9" t="s">
        <v>19</v>
      </c>
      <c r="C8" s="9" t="s">
        <v>18</v>
      </c>
      <c r="D8" s="9">
        <v>1432</v>
      </c>
      <c r="E8" s="10">
        <v>0</v>
      </c>
      <c r="F8" s="10">
        <v>3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9">
        <f t="shared" si="0"/>
        <v>3</v>
      </c>
      <c r="M8" s="9">
        <v>3</v>
      </c>
      <c r="N8" s="9">
        <v>3</v>
      </c>
      <c r="O8" s="6"/>
    </row>
    <row r="9" spans="1:15" x14ac:dyDescent="0.3">
      <c r="A9" s="6"/>
      <c r="B9" s="9" t="s">
        <v>42</v>
      </c>
      <c r="C9" s="9" t="s">
        <v>15</v>
      </c>
      <c r="D9" s="9">
        <v>1662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3</v>
      </c>
      <c r="K9" s="10">
        <v>0</v>
      </c>
      <c r="L9" s="9">
        <f t="shared" si="0"/>
        <v>3</v>
      </c>
      <c r="M9" s="9">
        <v>2</v>
      </c>
      <c r="N9" s="9">
        <v>3</v>
      </c>
      <c r="O9" s="6"/>
    </row>
    <row r="10" spans="1:15" x14ac:dyDescent="0.3">
      <c r="A10" s="6"/>
      <c r="B10" s="9" t="s">
        <v>20</v>
      </c>
      <c r="C10" s="9" t="s">
        <v>15</v>
      </c>
      <c r="D10" s="9">
        <v>1662</v>
      </c>
      <c r="E10" s="10">
        <v>0</v>
      </c>
      <c r="F10" s="10">
        <v>0</v>
      </c>
      <c r="G10" s="10">
        <v>0</v>
      </c>
      <c r="H10" s="10">
        <v>4</v>
      </c>
      <c r="I10" s="10">
        <v>0</v>
      </c>
      <c r="J10" s="10">
        <v>0</v>
      </c>
      <c r="K10" s="10">
        <v>0</v>
      </c>
      <c r="L10" s="9">
        <f t="shared" si="0"/>
        <v>4</v>
      </c>
      <c r="M10" s="9">
        <v>2</v>
      </c>
      <c r="N10" s="9">
        <v>4</v>
      </c>
      <c r="O10" s="6"/>
    </row>
    <row r="11" spans="1:15" x14ac:dyDescent="0.3">
      <c r="A11" s="6"/>
      <c r="B11" s="9" t="s">
        <v>43</v>
      </c>
      <c r="C11" s="9" t="s">
        <v>15</v>
      </c>
      <c r="D11" s="9">
        <v>1662</v>
      </c>
      <c r="E11" s="10">
        <v>0</v>
      </c>
      <c r="F11" s="10">
        <v>0</v>
      </c>
      <c r="G11" s="10">
        <v>0</v>
      </c>
      <c r="H11" s="10">
        <v>2</v>
      </c>
      <c r="I11" s="10">
        <v>0</v>
      </c>
      <c r="J11" s="10">
        <v>0</v>
      </c>
      <c r="K11" s="10">
        <v>0</v>
      </c>
      <c r="L11" s="9">
        <f t="shared" si="0"/>
        <v>2</v>
      </c>
      <c r="M11" s="9">
        <v>2</v>
      </c>
      <c r="N11" s="9">
        <v>2</v>
      </c>
      <c r="O11" s="6"/>
    </row>
    <row r="12" spans="1:15" x14ac:dyDescent="0.3">
      <c r="A12" s="6"/>
      <c r="B12" s="9" t="s">
        <v>21</v>
      </c>
      <c r="C12" s="9" t="s">
        <v>18</v>
      </c>
      <c r="D12" s="9">
        <v>1432</v>
      </c>
      <c r="E12" s="10">
        <v>0</v>
      </c>
      <c r="F12" s="10">
        <v>0</v>
      </c>
      <c r="G12" s="10">
        <v>4</v>
      </c>
      <c r="H12" s="10">
        <v>0</v>
      </c>
      <c r="I12" s="10">
        <v>0</v>
      </c>
      <c r="J12" s="10">
        <v>0</v>
      </c>
      <c r="K12" s="10">
        <v>0</v>
      </c>
      <c r="L12" s="9">
        <f t="shared" si="0"/>
        <v>4</v>
      </c>
      <c r="M12" s="9">
        <v>2</v>
      </c>
      <c r="N12" s="9">
        <v>4</v>
      </c>
      <c r="O12" s="6"/>
    </row>
    <row r="13" spans="1:15" x14ac:dyDescent="0.3">
      <c r="A13" s="6"/>
      <c r="B13" s="11" t="s">
        <v>24</v>
      </c>
      <c r="C13" s="11"/>
      <c r="D13" s="11"/>
      <c r="E13" s="8">
        <f>SUM(E5:E12)</f>
        <v>1.5</v>
      </c>
      <c r="F13" s="8">
        <f t="shared" ref="F13:L13" si="1">SUM(F5:F12)</f>
        <v>3</v>
      </c>
      <c r="G13" s="8">
        <f t="shared" si="1"/>
        <v>9</v>
      </c>
      <c r="H13" s="8">
        <f t="shared" si="1"/>
        <v>6</v>
      </c>
      <c r="I13" s="8">
        <f t="shared" si="1"/>
        <v>0.49999900000000008</v>
      </c>
      <c r="J13" s="8">
        <f t="shared" si="1"/>
        <v>3</v>
      </c>
      <c r="K13" s="8">
        <f t="shared" si="1"/>
        <v>0.49999900000000008</v>
      </c>
      <c r="L13" s="6"/>
      <c r="M13" s="6"/>
      <c r="N13" s="6"/>
      <c r="O13" s="6"/>
    </row>
    <row r="14" spans="1:15" x14ac:dyDescent="0.3">
      <c r="A14" s="6"/>
      <c r="B14" s="11" t="s">
        <v>25</v>
      </c>
      <c r="C14" s="11"/>
      <c r="D14" s="11"/>
      <c r="E14" s="9">
        <v>1.5</v>
      </c>
      <c r="F14" s="9">
        <v>3</v>
      </c>
      <c r="G14" s="9">
        <v>9</v>
      </c>
      <c r="H14" s="9">
        <v>6</v>
      </c>
      <c r="I14" s="9">
        <v>0.5</v>
      </c>
      <c r="J14" s="9">
        <v>3</v>
      </c>
      <c r="K14" s="9">
        <v>0.5</v>
      </c>
      <c r="L14" s="6"/>
      <c r="M14" s="6"/>
      <c r="N14" s="6"/>
      <c r="O14" s="6"/>
    </row>
    <row r="15" spans="1:15" x14ac:dyDescent="0.3">
      <c r="A15" s="6"/>
      <c r="B15" s="11" t="s">
        <v>26</v>
      </c>
      <c r="C15" s="11"/>
      <c r="D15" s="11"/>
      <c r="E15" s="9">
        <v>2</v>
      </c>
      <c r="F15" s="9">
        <v>3</v>
      </c>
      <c r="G15" s="9">
        <v>9</v>
      </c>
      <c r="H15" s="9">
        <v>7</v>
      </c>
      <c r="I15" s="9">
        <v>1.5</v>
      </c>
      <c r="J15" s="9">
        <v>3</v>
      </c>
      <c r="K15" s="9">
        <v>1.5</v>
      </c>
      <c r="L15" s="6"/>
      <c r="M15" s="6"/>
      <c r="N15" s="6"/>
      <c r="O15" s="6"/>
    </row>
    <row r="16" spans="1:15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3">
      <c r="A17" s="6"/>
      <c r="B17" s="8" t="s">
        <v>1</v>
      </c>
      <c r="C17" s="8" t="s">
        <v>27</v>
      </c>
      <c r="D17" s="8" t="s">
        <v>28</v>
      </c>
      <c r="E17" s="8" t="s">
        <v>29</v>
      </c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3">
      <c r="A18" s="6"/>
      <c r="B18" s="9" t="s">
        <v>14</v>
      </c>
      <c r="C18" s="9">
        <f t="shared" ref="C18:C25" si="2">D5*L5</f>
        <v>2493</v>
      </c>
      <c r="D18" s="9">
        <f t="shared" ref="D18:D25" si="3">D5*(IF(E5&gt;0,1.17,0)+IF(F5&gt;0,1.17,0)+IF(G5&gt;0,1.17,0)+IF(H5&gt;0,1.17,0)+IF(I5&gt;0,0,0)+IF(J5&gt;0,1.17,0)+IF(K5&gt;0,0,0))</f>
        <v>1944.54</v>
      </c>
      <c r="E18" s="9">
        <f t="shared" ref="E18:E25" si="4">C18+D18</f>
        <v>4437.54</v>
      </c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3">
      <c r="A19" s="6"/>
      <c r="B19" s="9" t="s">
        <v>16</v>
      </c>
      <c r="C19" s="9">
        <f t="shared" si="2"/>
        <v>1661.9966760000002</v>
      </c>
      <c r="D19" s="9">
        <f t="shared" si="3"/>
        <v>0</v>
      </c>
      <c r="E19" s="9">
        <f t="shared" si="4"/>
        <v>1661.9966760000002</v>
      </c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3">
      <c r="A20" s="6"/>
      <c r="B20" s="9" t="s">
        <v>17</v>
      </c>
      <c r="C20" s="9">
        <f t="shared" si="2"/>
        <v>7160</v>
      </c>
      <c r="D20" s="9">
        <f t="shared" si="3"/>
        <v>1675.4399999999998</v>
      </c>
      <c r="E20" s="9">
        <f t="shared" si="4"/>
        <v>8835.44</v>
      </c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3">
      <c r="A21" s="6"/>
      <c r="B21" s="9" t="s">
        <v>19</v>
      </c>
      <c r="C21" s="9">
        <f t="shared" si="2"/>
        <v>4296</v>
      </c>
      <c r="D21" s="9">
        <f t="shared" si="3"/>
        <v>1675.4399999999998</v>
      </c>
      <c r="E21" s="9">
        <f t="shared" si="4"/>
        <v>5971.44</v>
      </c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3">
      <c r="A22" s="6"/>
      <c r="B22" s="9" t="s">
        <v>42</v>
      </c>
      <c r="C22" s="9">
        <f t="shared" si="2"/>
        <v>4986</v>
      </c>
      <c r="D22" s="9">
        <f t="shared" si="3"/>
        <v>1944.54</v>
      </c>
      <c r="E22" s="9">
        <f t="shared" si="4"/>
        <v>6930.54</v>
      </c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3">
      <c r="A23" s="6"/>
      <c r="B23" s="9" t="s">
        <v>20</v>
      </c>
      <c r="C23" s="9">
        <f t="shared" si="2"/>
        <v>6648</v>
      </c>
      <c r="D23" s="9">
        <f t="shared" si="3"/>
        <v>1944.54</v>
      </c>
      <c r="E23" s="9">
        <f t="shared" si="4"/>
        <v>8592.5400000000009</v>
      </c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3">
      <c r="A24" s="6"/>
      <c r="B24" s="9" t="s">
        <v>43</v>
      </c>
      <c r="C24" s="9">
        <f t="shared" si="2"/>
        <v>3324</v>
      </c>
      <c r="D24" s="9">
        <f t="shared" si="3"/>
        <v>1944.54</v>
      </c>
      <c r="E24" s="9">
        <f t="shared" si="4"/>
        <v>5268.54</v>
      </c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">
      <c r="A25" s="6"/>
      <c r="B25" s="9" t="s">
        <v>21</v>
      </c>
      <c r="C25" s="9">
        <f t="shared" si="2"/>
        <v>5728</v>
      </c>
      <c r="D25" s="9">
        <f t="shared" si="3"/>
        <v>1675.4399999999998</v>
      </c>
      <c r="E25" s="9">
        <f t="shared" si="4"/>
        <v>7403.44</v>
      </c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3">
      <c r="A26" s="6"/>
      <c r="B26" s="11" t="s">
        <v>30</v>
      </c>
      <c r="C26" s="11"/>
      <c r="D26" s="11"/>
      <c r="E26" s="8">
        <f>SUM(E18:E25)</f>
        <v>49101.476676000006</v>
      </c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3">
      <c r="A27" s="6"/>
      <c r="B27" s="11" t="s">
        <v>31</v>
      </c>
      <c r="C27" s="11"/>
      <c r="D27" s="11"/>
      <c r="E27" s="8">
        <f>'[1]Workshop Assignments'!D22</f>
        <v>61542.98</v>
      </c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3">
      <c r="A28" s="6"/>
      <c r="B28" s="11" t="s">
        <v>32</v>
      </c>
      <c r="C28" s="11"/>
      <c r="D28" s="11"/>
      <c r="E28" s="8">
        <f>E26+E27</f>
        <v>110644.456676</v>
      </c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3">
      <c r="A30" s="12"/>
      <c r="B30" s="7" t="s">
        <v>34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x14ac:dyDescent="0.3">
      <c r="A31" s="12"/>
      <c r="B31" s="12"/>
      <c r="C31" s="13" t="s">
        <v>44</v>
      </c>
      <c r="D31" s="13"/>
      <c r="E31" s="13" t="s">
        <v>45</v>
      </c>
      <c r="F31" s="13"/>
      <c r="G31" s="13" t="s">
        <v>45</v>
      </c>
      <c r="H31" s="13" t="s">
        <v>46</v>
      </c>
      <c r="I31" s="12"/>
      <c r="J31" s="12"/>
      <c r="K31" s="12"/>
      <c r="L31" s="12"/>
      <c r="M31" s="12"/>
      <c r="N31" s="12"/>
      <c r="O31" s="12"/>
    </row>
    <row r="32" spans="1:15" x14ac:dyDescent="0.3">
      <c r="A32" s="12"/>
      <c r="B32" s="7" t="s">
        <v>39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A33" s="12"/>
      <c r="B33" s="14" t="s">
        <v>4</v>
      </c>
      <c r="C33" s="15">
        <f>E14</f>
        <v>1.5</v>
      </c>
      <c r="D33" s="15" t="s">
        <v>40</v>
      </c>
      <c r="E33" s="15">
        <f>E13</f>
        <v>1.5</v>
      </c>
      <c r="F33" s="15" t="s">
        <v>40</v>
      </c>
      <c r="G33" s="15">
        <f>E15</f>
        <v>2</v>
      </c>
      <c r="H33" s="15" t="str">
        <f>IF(AND(E13&gt;=E14,E13&lt;=E15),"OK","FAIL")</f>
        <v>OK</v>
      </c>
      <c r="I33" s="12"/>
      <c r="J33" s="12"/>
      <c r="K33" s="12"/>
      <c r="L33" s="12"/>
      <c r="M33" s="12"/>
      <c r="N33" s="12"/>
      <c r="O33" s="12"/>
    </row>
    <row r="34" spans="1:15" x14ac:dyDescent="0.3">
      <c r="A34" s="12"/>
      <c r="B34" s="14" t="s">
        <v>5</v>
      </c>
      <c r="C34" s="15">
        <f>F14</f>
        <v>3</v>
      </c>
      <c r="D34" s="15" t="s">
        <v>40</v>
      </c>
      <c r="E34" s="15">
        <f>F13</f>
        <v>3</v>
      </c>
      <c r="F34" s="15" t="s">
        <v>40</v>
      </c>
      <c r="G34" s="15">
        <f>F15</f>
        <v>3</v>
      </c>
      <c r="H34" s="15" t="str">
        <f>IF(AND(F13&gt;=F14,F13&lt;=F15),"OK","FAIL")</f>
        <v>OK</v>
      </c>
      <c r="I34" s="12"/>
      <c r="J34" s="12"/>
      <c r="K34" s="12"/>
      <c r="L34" s="12"/>
      <c r="M34" s="12"/>
      <c r="N34" s="12"/>
      <c r="O34" s="12"/>
    </row>
    <row r="35" spans="1:15" x14ac:dyDescent="0.3">
      <c r="A35" s="12"/>
      <c r="B35" s="14" t="s">
        <v>6</v>
      </c>
      <c r="C35" s="15">
        <f>G14</f>
        <v>9</v>
      </c>
      <c r="D35" s="15" t="s">
        <v>40</v>
      </c>
      <c r="E35" s="15">
        <f>G13</f>
        <v>9</v>
      </c>
      <c r="F35" s="15" t="s">
        <v>40</v>
      </c>
      <c r="G35" s="15">
        <f>G15</f>
        <v>9</v>
      </c>
      <c r="H35" s="15" t="str">
        <f>IF(AND(G13&gt;=G14,G13&lt;=G15),"OK","FAIL")</f>
        <v>OK</v>
      </c>
      <c r="I35" s="12"/>
      <c r="J35" s="12"/>
      <c r="K35" s="12"/>
      <c r="L35" s="12"/>
      <c r="M35" s="12"/>
      <c r="N35" s="12"/>
      <c r="O35" s="12"/>
    </row>
    <row r="36" spans="1:15" x14ac:dyDescent="0.3">
      <c r="A36" s="12"/>
      <c r="B36" s="14" t="s">
        <v>7</v>
      </c>
      <c r="C36" s="15">
        <f>H14</f>
        <v>6</v>
      </c>
      <c r="D36" s="15" t="s">
        <v>40</v>
      </c>
      <c r="E36" s="15">
        <f>H13</f>
        <v>6</v>
      </c>
      <c r="F36" s="15" t="s">
        <v>40</v>
      </c>
      <c r="G36" s="15">
        <f>H15</f>
        <v>7</v>
      </c>
      <c r="H36" s="15" t="str">
        <f>IF(AND(H13&gt;=H14,H13&lt;=H15),"OK","FAIL")</f>
        <v>OK</v>
      </c>
      <c r="I36" s="12"/>
      <c r="J36" s="12"/>
      <c r="K36" s="12"/>
      <c r="L36" s="12"/>
      <c r="M36" s="12"/>
      <c r="N36" s="12"/>
      <c r="O36" s="12"/>
    </row>
    <row r="37" spans="1:15" x14ac:dyDescent="0.3">
      <c r="A37" s="12"/>
      <c r="B37" s="14" t="s">
        <v>8</v>
      </c>
      <c r="C37" s="15">
        <f>I14</f>
        <v>0.5</v>
      </c>
      <c r="D37" s="15" t="s">
        <v>40</v>
      </c>
      <c r="E37" s="15">
        <f>I13</f>
        <v>0.49999900000000008</v>
      </c>
      <c r="F37" s="15" t="s">
        <v>40</v>
      </c>
      <c r="G37" s="15">
        <f>I15</f>
        <v>1.5</v>
      </c>
      <c r="H37" s="15" t="str">
        <f>IF(AND(I13&gt;=I14,I13&lt;=I15),"OK","FAIL")</f>
        <v>FAIL</v>
      </c>
      <c r="I37" s="12"/>
      <c r="J37" s="12"/>
      <c r="K37" s="12"/>
      <c r="L37" s="12"/>
      <c r="M37" s="12"/>
      <c r="N37" s="12"/>
      <c r="O37" s="12"/>
    </row>
    <row r="38" spans="1:15" x14ac:dyDescent="0.3">
      <c r="A38" s="12"/>
      <c r="B38" s="14" t="s">
        <v>9</v>
      </c>
      <c r="C38" s="15">
        <f>J14</f>
        <v>3</v>
      </c>
      <c r="D38" s="15" t="s">
        <v>40</v>
      </c>
      <c r="E38" s="15">
        <f>J13</f>
        <v>3</v>
      </c>
      <c r="F38" s="15" t="s">
        <v>40</v>
      </c>
      <c r="G38" s="15">
        <f>J15</f>
        <v>3</v>
      </c>
      <c r="H38" s="15" t="str">
        <f>IF(AND(J13&gt;=J14,J13&lt;=J15),"OK","FAIL")</f>
        <v>OK</v>
      </c>
      <c r="I38" s="12"/>
      <c r="J38" s="12"/>
      <c r="K38" s="12"/>
      <c r="L38" s="12"/>
      <c r="M38" s="12"/>
      <c r="N38" s="12"/>
      <c r="O38" s="12"/>
    </row>
    <row r="39" spans="1:15" x14ac:dyDescent="0.3">
      <c r="A39" s="12"/>
      <c r="B39" s="14" t="s">
        <v>10</v>
      </c>
      <c r="C39" s="15">
        <f>K14</f>
        <v>0.5</v>
      </c>
      <c r="D39" s="15" t="s">
        <v>40</v>
      </c>
      <c r="E39" s="15">
        <f>K13</f>
        <v>0.49999900000000008</v>
      </c>
      <c r="F39" s="15" t="s">
        <v>40</v>
      </c>
      <c r="G39" s="15">
        <f>K15</f>
        <v>1.5</v>
      </c>
      <c r="H39" s="15" t="str">
        <f>IF(AND(K13&gt;=K14,K13&lt;=K15),"OK","FAIL")</f>
        <v>FAIL</v>
      </c>
      <c r="I39" s="12"/>
      <c r="J39" s="12"/>
      <c r="K39" s="12"/>
      <c r="L39" s="12"/>
      <c r="M39" s="12"/>
      <c r="N39" s="12"/>
      <c r="O39" s="12"/>
    </row>
    <row r="40" spans="1:15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3">
      <c r="A41" s="12"/>
      <c r="B41" s="7" t="s">
        <v>41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3">
      <c r="A42" s="12"/>
      <c r="B42" s="14" t="s">
        <v>14</v>
      </c>
      <c r="C42" s="15">
        <f t="shared" ref="C42:C49" si="5">M5</f>
        <v>1</v>
      </c>
      <c r="D42" s="15" t="s">
        <v>40</v>
      </c>
      <c r="E42" s="15">
        <f t="shared" ref="E42:E49" si="6">L5</f>
        <v>1.5</v>
      </c>
      <c r="F42" s="15" t="s">
        <v>40</v>
      </c>
      <c r="G42" s="15">
        <f t="shared" ref="G42:G49" si="7">N5</f>
        <v>2</v>
      </c>
      <c r="H42" s="15" t="str">
        <f t="shared" ref="H42:H49" si="8">IF(AND(L5&gt;=M5,L5&lt;=N5),"OK","FAIL")</f>
        <v>OK</v>
      </c>
      <c r="I42" s="12"/>
      <c r="J42" s="12"/>
      <c r="K42" s="12"/>
      <c r="L42" s="12"/>
      <c r="M42" s="12"/>
      <c r="N42" s="12"/>
      <c r="O42" s="12"/>
    </row>
    <row r="43" spans="1:15" x14ac:dyDescent="0.3">
      <c r="A43" s="12"/>
      <c r="B43" s="14" t="s">
        <v>16</v>
      </c>
      <c r="C43" s="15">
        <f t="shared" si="5"/>
        <v>1</v>
      </c>
      <c r="D43" s="15" t="s">
        <v>40</v>
      </c>
      <c r="E43" s="15">
        <f t="shared" si="6"/>
        <v>0.99999800000000016</v>
      </c>
      <c r="F43" s="15" t="s">
        <v>40</v>
      </c>
      <c r="G43" s="15">
        <f t="shared" si="7"/>
        <v>1</v>
      </c>
      <c r="H43" s="15" t="str">
        <f t="shared" si="8"/>
        <v>FAIL</v>
      </c>
      <c r="I43" s="12"/>
      <c r="J43" s="12"/>
      <c r="K43" s="12"/>
      <c r="L43" s="12"/>
      <c r="M43" s="12"/>
      <c r="N43" s="12"/>
      <c r="O43" s="12"/>
    </row>
    <row r="44" spans="1:15" x14ac:dyDescent="0.3">
      <c r="A44" s="12"/>
      <c r="B44" s="14" t="s">
        <v>17</v>
      </c>
      <c r="C44" s="15">
        <f t="shared" si="5"/>
        <v>5</v>
      </c>
      <c r="D44" s="15" t="s">
        <v>40</v>
      </c>
      <c r="E44" s="15">
        <f t="shared" si="6"/>
        <v>5</v>
      </c>
      <c r="F44" s="15" t="s">
        <v>40</v>
      </c>
      <c r="G44" s="15">
        <f t="shared" si="7"/>
        <v>5</v>
      </c>
      <c r="H44" s="15" t="str">
        <f t="shared" si="8"/>
        <v>OK</v>
      </c>
      <c r="I44" s="12"/>
      <c r="J44" s="12"/>
      <c r="K44" s="12"/>
      <c r="L44" s="12"/>
      <c r="M44" s="12"/>
      <c r="N44" s="12"/>
      <c r="O44" s="12"/>
    </row>
    <row r="45" spans="1:15" x14ac:dyDescent="0.3">
      <c r="A45" s="12"/>
      <c r="B45" s="14" t="s">
        <v>19</v>
      </c>
      <c r="C45" s="15">
        <f t="shared" si="5"/>
        <v>3</v>
      </c>
      <c r="D45" s="15" t="s">
        <v>40</v>
      </c>
      <c r="E45" s="15">
        <f t="shared" si="6"/>
        <v>3</v>
      </c>
      <c r="F45" s="15" t="s">
        <v>40</v>
      </c>
      <c r="G45" s="15">
        <f t="shared" si="7"/>
        <v>3</v>
      </c>
      <c r="H45" s="15" t="str">
        <f t="shared" si="8"/>
        <v>OK</v>
      </c>
      <c r="I45" s="12"/>
      <c r="J45" s="12"/>
      <c r="K45" s="12"/>
      <c r="L45" s="12"/>
      <c r="M45" s="12"/>
      <c r="N45" s="12"/>
      <c r="O45" s="12"/>
    </row>
    <row r="46" spans="1:15" x14ac:dyDescent="0.3">
      <c r="A46" s="12"/>
      <c r="B46" s="14" t="s">
        <v>42</v>
      </c>
      <c r="C46" s="15">
        <f t="shared" si="5"/>
        <v>2</v>
      </c>
      <c r="D46" s="15" t="s">
        <v>40</v>
      </c>
      <c r="E46" s="15">
        <f t="shared" si="6"/>
        <v>3</v>
      </c>
      <c r="F46" s="15" t="s">
        <v>40</v>
      </c>
      <c r="G46" s="15">
        <f t="shared" si="7"/>
        <v>3</v>
      </c>
      <c r="H46" s="15" t="str">
        <f t="shared" si="8"/>
        <v>OK</v>
      </c>
      <c r="I46" s="12"/>
      <c r="J46" s="12"/>
      <c r="K46" s="12"/>
      <c r="L46" s="12"/>
      <c r="M46" s="12"/>
      <c r="N46" s="12"/>
      <c r="O46" s="12"/>
    </row>
    <row r="47" spans="1:15" x14ac:dyDescent="0.3">
      <c r="A47" s="12"/>
      <c r="B47" s="14" t="s">
        <v>20</v>
      </c>
      <c r="C47" s="15">
        <f t="shared" si="5"/>
        <v>2</v>
      </c>
      <c r="D47" s="15" t="s">
        <v>40</v>
      </c>
      <c r="E47" s="15">
        <f t="shared" si="6"/>
        <v>4</v>
      </c>
      <c r="F47" s="15" t="s">
        <v>40</v>
      </c>
      <c r="G47" s="15">
        <f t="shared" si="7"/>
        <v>4</v>
      </c>
      <c r="H47" s="15" t="str">
        <f t="shared" si="8"/>
        <v>OK</v>
      </c>
      <c r="I47" s="12"/>
      <c r="J47" s="12"/>
      <c r="K47" s="12"/>
      <c r="L47" s="12"/>
      <c r="M47" s="12"/>
      <c r="N47" s="12"/>
      <c r="O47" s="12"/>
    </row>
    <row r="48" spans="1:15" x14ac:dyDescent="0.3">
      <c r="A48" s="12"/>
      <c r="B48" s="14" t="s">
        <v>43</v>
      </c>
      <c r="C48" s="15">
        <f t="shared" si="5"/>
        <v>2</v>
      </c>
      <c r="D48" s="15" t="s">
        <v>40</v>
      </c>
      <c r="E48" s="15">
        <f t="shared" si="6"/>
        <v>2</v>
      </c>
      <c r="F48" s="15" t="s">
        <v>40</v>
      </c>
      <c r="G48" s="15">
        <f t="shared" si="7"/>
        <v>2</v>
      </c>
      <c r="H48" s="15" t="str">
        <f t="shared" si="8"/>
        <v>OK</v>
      </c>
      <c r="I48" s="12"/>
      <c r="J48" s="12"/>
      <c r="K48" s="12"/>
      <c r="L48" s="12"/>
      <c r="M48" s="12"/>
      <c r="N48" s="12"/>
      <c r="O48" s="12"/>
    </row>
    <row r="49" spans="1:15" x14ac:dyDescent="0.3">
      <c r="A49" s="12"/>
      <c r="B49" s="14" t="s">
        <v>21</v>
      </c>
      <c r="C49" s="15">
        <f t="shared" si="5"/>
        <v>2</v>
      </c>
      <c r="D49" s="15" t="s">
        <v>40</v>
      </c>
      <c r="E49" s="15">
        <f t="shared" si="6"/>
        <v>4</v>
      </c>
      <c r="F49" s="15" t="s">
        <v>40</v>
      </c>
      <c r="G49" s="15">
        <f t="shared" si="7"/>
        <v>4</v>
      </c>
      <c r="H49" s="15" t="str">
        <f t="shared" si="8"/>
        <v>OK</v>
      </c>
      <c r="I49" s="12"/>
      <c r="J49" s="12"/>
      <c r="K49" s="12"/>
      <c r="L49" s="12"/>
      <c r="M49" s="12"/>
      <c r="N49" s="12"/>
      <c r="O49" s="12"/>
    </row>
    <row r="50" spans="1:15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</sheetData>
  <mergeCells count="6">
    <mergeCell ref="B13:D13"/>
    <mergeCell ref="B14:D14"/>
    <mergeCell ref="B15:D15"/>
    <mergeCell ref="B26:D26"/>
    <mergeCell ref="B27:D27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simplex solver</vt:lpstr>
      <vt:lpstr>dif grg intitilization</vt:lpstr>
      <vt:lpstr>original grg solver</vt:lpstr>
      <vt:lpstr>Final grg initilization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Elamrawy</dc:creator>
  <cp:lastModifiedBy>Mariam Elamrawy</cp:lastModifiedBy>
  <dcterms:created xsi:type="dcterms:W3CDTF">2026-04-21T23:34:54Z</dcterms:created>
  <dcterms:modified xsi:type="dcterms:W3CDTF">2026-04-22T00:37:15Z</dcterms:modified>
</cp:coreProperties>
</file>